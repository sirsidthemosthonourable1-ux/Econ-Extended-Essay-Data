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80" yWindow="1500" windowWidth="27240" windowHeight="153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Graph</a:t>
            </a:r>
            <a:r>
              <a:rPr lang="en-US" baseline="0"/>
              <a:t xml:space="preserve"> 3: Comparing Blue vs Red Rankings</a:t>
            </a:r>
            <a:endParaRPr lang="en-US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lineChart>
        <grouping val="standard"/>
        <varyColors val="0"/>
        <ser>
          <idx val="0"/>
          <order val="0"/>
          <tx>
            <strRef>
              <f>Sheet1!$B$1</f>
              <strCache>
                <ptCount val="1"/>
                <pt idx="0">
                  <v>Mean_Blue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Sheet1!$B$2:$B$16</f>
              <numCache>
                <formatCode>General</formatCode>
                <ptCount val="15"/>
                <pt idx="0">
                  <v>4.3</v>
                </pt>
                <pt idx="1">
                  <v>4.15</v>
                </pt>
                <pt idx="2">
                  <v>3.4</v>
                </pt>
                <pt idx="3">
                  <v>3.05</v>
                </pt>
                <pt idx="4">
                  <v>4</v>
                </pt>
                <pt idx="5">
                  <v>3.45</v>
                </pt>
                <pt idx="6">
                  <v>4.15</v>
                </pt>
                <pt idx="7">
                  <v>3.65</v>
                </pt>
                <pt idx="8">
                  <v>3</v>
                </pt>
                <pt idx="9">
                  <v>3.7</v>
                </pt>
                <pt idx="10">
                  <v>2.9</v>
                </pt>
                <pt idx="11">
                  <v>3.3</v>
                </pt>
                <pt idx="12">
                  <v>3.7</v>
                </pt>
                <pt idx="13">
                  <v>4.25</v>
                </pt>
                <pt idx="14">
                  <v>3.9</v>
                </pt>
              </numCache>
            </numRef>
          </val>
          <smooth val="0"/>
        </ser>
        <ser>
          <idx val="1"/>
          <order val="1"/>
          <tx>
            <strRef>
              <f>Sheet1!$C$1</f>
              <strCache>
                <ptCount val="1"/>
                <pt idx="0">
                  <v>Mean_Red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Sheet1!$C$2:$C$16</f>
              <numCache>
                <formatCode>General</formatCode>
                <ptCount val="15"/>
                <pt idx="0">
                  <v>3.666666667</v>
                </pt>
                <pt idx="1">
                  <v>4.111111111</v>
                </pt>
                <pt idx="2">
                  <v>3.111111111</v>
                </pt>
                <pt idx="3">
                  <v>2.888888889</v>
                </pt>
                <pt idx="4">
                  <v>3.888888889</v>
                </pt>
                <pt idx="5">
                  <v>3.111111111</v>
                </pt>
                <pt idx="6">
                  <v>4</v>
                </pt>
                <pt idx="7">
                  <v>3.444444444</v>
                </pt>
                <pt idx="8">
                  <v>3</v>
                </pt>
                <pt idx="9">
                  <v>3.555555556</v>
                </pt>
                <pt idx="10">
                  <v>2.333333333</v>
                </pt>
                <pt idx="11">
                  <v>3.555555556</v>
                </pt>
                <pt idx="12">
                  <v>3.666666667</v>
                </pt>
                <pt idx="13">
                  <v>3.666666667</v>
                </pt>
                <pt idx="14">
                  <v>3.666666667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952173424"/>
        <axId val="952318144"/>
      </lineChart>
      <catAx>
        <axId val="95217342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952318144"/>
        <crosses val="autoZero"/>
        <auto val="1"/>
        <lblAlgn val="ctr"/>
        <lblOffset val="100"/>
        <noMultiLvlLbl val="0"/>
      </catAx>
      <valAx>
        <axId val="95231814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952173424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Graph</a:t>
            </a:r>
            <a:r>
              <a:rPr lang="en-US" baseline="0"/>
              <a:t xml:space="preserve"> 1: Comparing Red ranks with producer rankings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Sheet1!$M$20</f>
              <strCache>
                <ptCount val="1"/>
                <pt idx="0">
                  <v>Rank_Red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Sheet1!$L$21:$L$35</f>
              <strCache>
                <ptCount val="15"/>
                <pt idx="0">
                  <v>Audi</v>
                </pt>
                <pt idx="1">
                  <v>BMW</v>
                </pt>
                <pt idx="2">
                  <v>Honda</v>
                </pt>
                <pt idx="3">
                  <v>Hyundai</v>
                </pt>
                <pt idx="4">
                  <v>Jaguar Land Rover</v>
                </pt>
                <pt idx="5">
                  <v>Mahindra</v>
                </pt>
                <pt idx="6">
                  <v>Mercedes-Benz</v>
                </pt>
                <pt idx="7">
                  <v>Mini</v>
                </pt>
                <pt idx="8">
                  <v>MG</v>
                </pt>
                <pt idx="9">
                  <v>Skoda</v>
                </pt>
                <pt idx="10">
                  <v>Suzuki</v>
                </pt>
                <pt idx="11">
                  <v>Tata</v>
                </pt>
                <pt idx="12">
                  <v>Toyota</v>
                </pt>
                <pt idx="13">
                  <v>Volvo</v>
                </pt>
                <pt idx="14">
                  <v>Volkswagen</v>
                </pt>
              </strCache>
            </strRef>
          </cat>
          <val>
            <numRef>
              <f>Sheet1!$M$21:$M$35</f>
              <numCache>
                <formatCode>General</formatCode>
                <ptCount val="15"/>
                <pt idx="0">
                  <v>5</v>
                </pt>
                <pt idx="1">
                  <v>1</v>
                </pt>
                <pt idx="2">
                  <v>11.5</v>
                </pt>
                <pt idx="3">
                  <v>14</v>
                </pt>
                <pt idx="4">
                  <v>3</v>
                </pt>
                <pt idx="5">
                  <v>11.5</v>
                </pt>
                <pt idx="6">
                  <v>2</v>
                </pt>
                <pt idx="7">
                  <v>9</v>
                </pt>
                <pt idx="8">
                  <v>13</v>
                </pt>
                <pt idx="9">
                  <v>7.5</v>
                </pt>
                <pt idx="10">
                  <v>15</v>
                </pt>
                <pt idx="11">
                  <v>7.5</v>
                </pt>
                <pt idx="12">
                  <v>5</v>
                </pt>
                <pt idx="13">
                  <v>5</v>
                </pt>
                <pt idx="14">
                  <v>10</v>
                </pt>
              </numCache>
            </numRef>
          </val>
        </ser>
        <ser>
          <idx val="1"/>
          <order val="1"/>
          <tx>
            <strRef>
              <f>Sheet1!$N$20</f>
              <strCache>
                <ptCount val="1"/>
                <pt idx="0">
                  <v>Producer_Rank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Sheet1!$L$21:$L$35</f>
              <strCache>
                <ptCount val="15"/>
                <pt idx="0">
                  <v>Audi</v>
                </pt>
                <pt idx="1">
                  <v>BMW</v>
                </pt>
                <pt idx="2">
                  <v>Honda</v>
                </pt>
                <pt idx="3">
                  <v>Hyundai</v>
                </pt>
                <pt idx="4">
                  <v>Jaguar Land Rover</v>
                </pt>
                <pt idx="5">
                  <v>Mahindra</v>
                </pt>
                <pt idx="6">
                  <v>Mercedes-Benz</v>
                </pt>
                <pt idx="7">
                  <v>Mini</v>
                </pt>
                <pt idx="8">
                  <v>MG</v>
                </pt>
                <pt idx="9">
                  <v>Skoda</v>
                </pt>
                <pt idx="10">
                  <v>Suzuki</v>
                </pt>
                <pt idx="11">
                  <v>Tata</v>
                </pt>
                <pt idx="12">
                  <v>Toyota</v>
                </pt>
                <pt idx="13">
                  <v>Volvo</v>
                </pt>
                <pt idx="14">
                  <v>Volkswagen</v>
                </pt>
              </strCache>
            </strRef>
          </cat>
          <val>
            <numRef>
              <f>Sheet1!$N$21:$N$35</f>
              <numCache>
                <formatCode>General</formatCode>
                <ptCount val="15"/>
                <pt idx="0">
                  <v>4</v>
                </pt>
                <pt idx="1">
                  <v>1</v>
                </pt>
                <pt idx="2">
                  <v>14</v>
                </pt>
                <pt idx="3">
                  <v>13</v>
                </pt>
                <pt idx="4">
                  <v>2</v>
                </pt>
                <pt idx="5">
                  <v>9</v>
                </pt>
                <pt idx="6">
                  <v>3</v>
                </pt>
                <pt idx="7">
                  <v>11</v>
                </pt>
                <pt idx="8">
                  <v>12</v>
                </pt>
                <pt idx="9">
                  <v>8</v>
                </pt>
                <pt idx="10">
                  <v>15</v>
                </pt>
                <pt idx="11">
                  <v>10</v>
                </pt>
                <pt idx="12">
                  <v>6</v>
                </pt>
                <pt idx="13">
                  <v>5</v>
                </pt>
                <pt idx="14">
                  <v>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641355824"/>
        <axId val="1641379424"/>
      </barChart>
      <catAx>
        <axId val="164135582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641379424"/>
        <crosses val="autoZero"/>
        <auto val="1"/>
        <lblAlgn val="ctr"/>
        <lblOffset val="100"/>
        <noMultiLvlLbl val="0"/>
      </catAx>
      <valAx>
        <axId val="164137942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641355824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Graph</a:t>
            </a:r>
            <a:r>
              <a:rPr lang="en-US" baseline="0"/>
              <a:t xml:space="preserve"> 2: </a:t>
            </a:r>
            <a:r>
              <a:rPr lang="en-US"/>
              <a:t>Normalized_M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Sheet1!$Q$20</f>
              <strCache>
                <ptCount val="1"/>
                <pt idx="0">
                  <v>Normalized_M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Sheet1!$P$21:$P$35</f>
              <strCache>
                <ptCount val="15"/>
                <pt idx="0">
                  <v>Audi</v>
                </pt>
                <pt idx="1">
                  <v>BMW</v>
                </pt>
                <pt idx="2">
                  <v>Honda</v>
                </pt>
                <pt idx="3">
                  <v>Hyundai</v>
                </pt>
                <pt idx="4">
                  <v>Jaguar Land Rover</v>
                </pt>
                <pt idx="5">
                  <v>Mahindra</v>
                </pt>
                <pt idx="6">
                  <v>Mercedes-Benz</v>
                </pt>
                <pt idx="7">
                  <v>Mini</v>
                </pt>
                <pt idx="8">
                  <v>MG</v>
                </pt>
                <pt idx="9">
                  <v>Skoda</v>
                </pt>
                <pt idx="10">
                  <v>Suzuki</v>
                </pt>
                <pt idx="11">
                  <v>Tata</v>
                </pt>
                <pt idx="12">
                  <v>Toyota</v>
                </pt>
                <pt idx="13">
                  <v>Volvo</v>
                </pt>
                <pt idx="14">
                  <v>Volkswagen</v>
                </pt>
              </strCache>
            </strRef>
          </cat>
          <val>
            <numRef>
              <f>Sheet1!$Q$21:$Q$35</f>
              <numCache>
                <formatCode>General</formatCode>
                <ptCount val="15"/>
                <pt idx="0">
                  <v>0.07140000000000001</v>
                </pt>
                <pt idx="1">
                  <v>0</v>
                </pt>
                <pt idx="2">
                  <v>0.1786</v>
                </pt>
                <pt idx="3">
                  <v>0.07140000000000001</v>
                </pt>
                <pt idx="4">
                  <v>0.07140000000000001</v>
                </pt>
                <pt idx="5">
                  <v>0.1786</v>
                </pt>
                <pt idx="6">
                  <v>0.07140000000000001</v>
                </pt>
                <pt idx="7">
                  <v>0.1429</v>
                </pt>
                <pt idx="8">
                  <v>0.07140000000000001</v>
                </pt>
                <pt idx="9">
                  <v>0.0357</v>
                </pt>
                <pt idx="10">
                  <v>0</v>
                </pt>
                <pt idx="11">
                  <v>0.1786</v>
                </pt>
                <pt idx="12">
                  <v>0.07140000000000001</v>
                </pt>
                <pt idx="13">
                  <v>0</v>
                </pt>
                <pt idx="14">
                  <v>0.2143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2108887040"/>
        <axId val="2109473296"/>
      </barChart>
      <catAx>
        <axId val="210888704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2109473296"/>
        <crosses val="autoZero"/>
        <auto val="1"/>
        <lblAlgn val="ctr"/>
        <lblOffset val="100"/>
        <noMultiLvlLbl val="0"/>
      </catAx>
      <valAx>
        <axId val="210947329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2108887040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Graph</a:t>
            </a:r>
            <a:r>
              <a:rPr lang="en-US" baseline="0"/>
              <a:t xml:space="preserve"> 3: Red VS Blue deviation</a:t>
            </a:r>
            <a:endParaRPr lang="en-US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Sheet1!$T$3</f>
              <strCache>
                <ptCount val="1"/>
                <pt idx="0">
                  <v>Rank_Blue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Sheet1!$S$4:$S$18</f>
              <strCache>
                <ptCount val="15"/>
                <pt idx="0">
                  <v>Audi</v>
                </pt>
                <pt idx="1">
                  <v>BMW</v>
                </pt>
                <pt idx="2">
                  <v>Honda</v>
                </pt>
                <pt idx="3">
                  <v>Hyundai</v>
                </pt>
                <pt idx="4">
                  <v>Jaguar Land Rover</v>
                </pt>
                <pt idx="5">
                  <v>Mahindra</v>
                </pt>
                <pt idx="6">
                  <v>Mercedes-Benz</v>
                </pt>
                <pt idx="7">
                  <v>Mini</v>
                </pt>
                <pt idx="8">
                  <v>MG</v>
                </pt>
                <pt idx="9">
                  <v>Skoda</v>
                </pt>
                <pt idx="10">
                  <v>Suzuki</v>
                </pt>
                <pt idx="11">
                  <v>Tata</v>
                </pt>
                <pt idx="12">
                  <v>Toyota</v>
                </pt>
                <pt idx="13">
                  <v>Volvo</v>
                </pt>
                <pt idx="14">
                  <v>Volkswagen</v>
                </pt>
              </strCache>
            </strRef>
          </cat>
          <val>
            <numRef>
              <f>Sheet1!$T$4:$T$18</f>
              <numCache>
                <formatCode>General</formatCode>
                <ptCount val="15"/>
                <pt idx="0">
                  <v>1</v>
                </pt>
                <pt idx="1">
                  <v>3.5</v>
                </pt>
                <pt idx="2">
                  <v>11</v>
                </pt>
                <pt idx="3">
                  <v>13</v>
                </pt>
                <pt idx="4">
                  <v>5</v>
                </pt>
                <pt idx="5">
                  <v>10</v>
                </pt>
                <pt idx="6">
                  <v>3.5</v>
                </pt>
                <pt idx="7">
                  <v>9</v>
                </pt>
                <pt idx="8">
                  <v>14</v>
                </pt>
                <pt idx="9">
                  <v>7.5</v>
                </pt>
                <pt idx="10">
                  <v>15</v>
                </pt>
                <pt idx="11">
                  <v>12</v>
                </pt>
                <pt idx="12">
                  <v>7.5</v>
                </pt>
                <pt idx="13">
                  <v>2</v>
                </pt>
                <pt idx="14">
                  <v>6</v>
                </pt>
              </numCache>
            </numRef>
          </val>
        </ser>
        <ser>
          <idx val="1"/>
          <order val="1"/>
          <tx>
            <strRef>
              <f>Sheet1!$U$3</f>
              <strCache>
                <ptCount val="1"/>
                <pt idx="0">
                  <v>Rank_Red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Sheet1!$S$4:$S$18</f>
              <strCache>
                <ptCount val="15"/>
                <pt idx="0">
                  <v>Audi</v>
                </pt>
                <pt idx="1">
                  <v>BMW</v>
                </pt>
                <pt idx="2">
                  <v>Honda</v>
                </pt>
                <pt idx="3">
                  <v>Hyundai</v>
                </pt>
                <pt idx="4">
                  <v>Jaguar Land Rover</v>
                </pt>
                <pt idx="5">
                  <v>Mahindra</v>
                </pt>
                <pt idx="6">
                  <v>Mercedes-Benz</v>
                </pt>
                <pt idx="7">
                  <v>Mini</v>
                </pt>
                <pt idx="8">
                  <v>MG</v>
                </pt>
                <pt idx="9">
                  <v>Skoda</v>
                </pt>
                <pt idx="10">
                  <v>Suzuki</v>
                </pt>
                <pt idx="11">
                  <v>Tata</v>
                </pt>
                <pt idx="12">
                  <v>Toyota</v>
                </pt>
                <pt idx="13">
                  <v>Volvo</v>
                </pt>
                <pt idx="14">
                  <v>Volkswagen</v>
                </pt>
              </strCache>
            </strRef>
          </cat>
          <val>
            <numRef>
              <f>Sheet1!$U$4:$U$18</f>
              <numCache>
                <formatCode>General</formatCode>
                <ptCount val="15"/>
                <pt idx="0">
                  <v>5</v>
                </pt>
                <pt idx="1">
                  <v>1</v>
                </pt>
                <pt idx="2">
                  <v>11.5</v>
                </pt>
                <pt idx="3">
                  <v>14</v>
                </pt>
                <pt idx="4">
                  <v>3</v>
                </pt>
                <pt idx="5">
                  <v>11.5</v>
                </pt>
                <pt idx="6">
                  <v>2</v>
                </pt>
                <pt idx="7">
                  <v>9</v>
                </pt>
                <pt idx="8">
                  <v>13</v>
                </pt>
                <pt idx="9">
                  <v>7.5</v>
                </pt>
                <pt idx="10">
                  <v>15</v>
                </pt>
                <pt idx="11">
                  <v>7.5</v>
                </pt>
                <pt idx="12">
                  <v>5</v>
                </pt>
                <pt idx="13">
                  <v>5</v>
                </pt>
                <pt idx="14">
                  <v>10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314816479"/>
        <axId val="952162528"/>
      </barChart>
      <catAx>
        <axId val="314816479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952162528"/>
        <crosses val="autoZero"/>
        <auto val="1"/>
        <lblAlgn val="ctr"/>
        <lblOffset val="100"/>
        <noMultiLvlLbl val="0"/>
      </catAx>
      <valAx>
        <axId val="95216252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314816479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Graph</a:t>
            </a:r>
            <a:r>
              <a:rPr lang="en-US" baseline="0"/>
              <a:t xml:space="preserve"> 4: </a:t>
            </a:r>
            <a:r>
              <a:rPr lang="en-US"/>
              <a:t>Area_index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Sheet1!$U$24</f>
              <strCache>
                <ptCount val="1"/>
                <pt idx="0">
                  <v>Area_index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Sheet1!$T$25:$T$39</f>
              <strCache>
                <ptCount val="15"/>
                <pt idx="0">
                  <v>Audi</v>
                </pt>
                <pt idx="1">
                  <v>BMW</v>
                </pt>
                <pt idx="2">
                  <v>Honda</v>
                </pt>
                <pt idx="3">
                  <v>Hyundai</v>
                </pt>
                <pt idx="4">
                  <v>Jaguar Land Rover</v>
                </pt>
                <pt idx="5">
                  <v>Mahindra</v>
                </pt>
                <pt idx="6">
                  <v>Mercedes-Benz</v>
                </pt>
                <pt idx="7">
                  <v>Mini</v>
                </pt>
                <pt idx="8">
                  <v>MG</v>
                </pt>
                <pt idx="9">
                  <v>Skoda</v>
                </pt>
                <pt idx="10">
                  <v>Suzuki</v>
                </pt>
                <pt idx="11">
                  <v>Tata</v>
                </pt>
                <pt idx="12">
                  <v>Toyota</v>
                </pt>
                <pt idx="13">
                  <v>Volvo</v>
                </pt>
                <pt idx="14">
                  <v>Volkswagen</v>
                </pt>
              </strCache>
            </strRef>
          </cat>
          <val>
            <numRef>
              <f>Sheet1!$U$25:$U$39</f>
              <numCache>
                <formatCode>General</formatCode>
                <ptCount val="15"/>
                <pt idx="0">
                  <v>1.7</v>
                </pt>
                <pt idx="1">
                  <v>0</v>
                </pt>
                <pt idx="2">
                  <v>16.31</v>
                </pt>
                <pt idx="3">
                  <v>4.701</v>
                </pt>
                <pt idx="4">
                  <v>2.948</v>
                </pt>
                <pt idx="5">
                  <v>3.544</v>
                </pt>
                <pt idx="6">
                  <v>1.53</v>
                </pt>
                <pt idx="7">
                  <v>9.300000000000001</v>
                </pt>
                <pt idx="8">
                  <v>4.08</v>
                </pt>
                <pt idx="9">
                  <v>0.992</v>
                </pt>
                <pt idx="10">
                  <v>0</v>
                </pt>
                <pt idx="11">
                  <v>10.056</v>
                </pt>
                <pt idx="12">
                  <v>0.34</v>
                </pt>
                <pt idx="13">
                  <v>0</v>
                </pt>
                <pt idx="14">
                  <v>4.083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167087807"/>
        <axId val="1167453903"/>
      </barChart>
      <catAx>
        <axId val="1167087807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167453903"/>
        <crosses val="autoZero"/>
        <auto val="1"/>
        <lblAlgn val="ctr"/>
        <lblOffset val="100"/>
        <noMultiLvlLbl val="0"/>
      </catAx>
      <valAx>
        <axId val="1167453903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167087807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twoCellAnchor>
    <from>
      <col>2</col>
      <colOff>755650</colOff>
      <row>18</row>
      <rowOff>69850</rowOff>
    </from>
    <to>
      <col>8</col>
      <colOff>374650</colOff>
      <row>31</row>
      <rowOff>171450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</col>
      <colOff>38100</colOff>
      <row>21</row>
      <rowOff>44450</rowOff>
    </from>
    <to>
      <col>6</col>
      <colOff>482600</colOff>
      <row>34</row>
      <rowOff>146050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11</col>
      <colOff>177800</colOff>
      <row>12</row>
      <rowOff>158750</rowOff>
    </from>
    <to>
      <col>16</col>
      <colOff>622300</colOff>
      <row>26</row>
      <rowOff>57150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12</col>
      <colOff>127000</colOff>
      <row>21</row>
      <rowOff>158750</rowOff>
    </from>
    <to>
      <col>17</col>
      <colOff>571500</colOff>
      <row>35</row>
      <rowOff>57150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7</col>
      <colOff>266700</colOff>
      <row>18</row>
      <rowOff>158750</rowOff>
    </from>
    <to>
      <col>12</col>
      <colOff>711200</colOff>
      <row>32</row>
      <rowOff>57150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9"/>
  <sheetViews>
    <sheetView tabSelected="1" workbookViewId="0">
      <selection activeCell="G1" sqref="G1"/>
    </sheetView>
  </sheetViews>
  <sheetFormatPr baseColWidth="10" defaultRowHeight="16"/>
  <sheetData>
    <row r="1">
      <c r="A1" t="inlineStr">
        <is>
          <t>Brand</t>
        </is>
      </c>
      <c r="B1" t="inlineStr">
        <is>
          <t>Mean_Blue</t>
        </is>
      </c>
      <c r="C1" t="inlineStr">
        <is>
          <t>Mean_Red</t>
        </is>
      </c>
      <c r="D1" t="inlineStr">
        <is>
          <t>Rank_Blue</t>
        </is>
      </c>
      <c r="E1" t="inlineStr">
        <is>
          <t>Rank_Red</t>
        </is>
      </c>
      <c r="F1" t="inlineStr">
        <is>
          <t>Producer_Rank</t>
        </is>
      </c>
      <c r="G1" t="inlineStr">
        <is>
          <t>Producer_Score(1-5)</t>
        </is>
      </c>
      <c r="H1" t="inlineStr">
        <is>
          <t>Rank_Diff_D</t>
        </is>
      </c>
      <c r="I1" t="inlineStr">
        <is>
          <t>Normalized_M</t>
        </is>
      </c>
      <c r="J1" t="inlineStr">
        <is>
          <t>Delta_Mean</t>
        </is>
      </c>
      <c r="K1" t="inlineStr">
        <is>
          <t>Delta_Price</t>
        </is>
      </c>
      <c r="L1" t="inlineStr">
        <is>
          <t>DeltaQ</t>
        </is>
      </c>
      <c r="M1" t="inlineStr">
        <is>
          <t>Area_index</t>
        </is>
      </c>
    </row>
    <row r="2">
      <c r="A2" t="inlineStr">
        <is>
          <t>Audi</t>
        </is>
      </c>
      <c r="B2" t="n">
        <v>4.3</v>
      </c>
      <c r="C2" t="n">
        <v>3.7</v>
      </c>
      <c r="D2" t="n">
        <v>1</v>
      </c>
      <c r="E2" t="n">
        <v>5</v>
      </c>
      <c r="F2" t="n">
        <v>4</v>
      </c>
      <c r="G2" t="n">
        <v>4.142857</v>
      </c>
      <c r="H2" t="n">
        <v>-4</v>
      </c>
      <c r="I2" t="n">
        <v>0.07140000000000001</v>
      </c>
      <c r="J2" t="n">
        <v>-0.5999999999999996</v>
      </c>
      <c r="K2" t="n">
        <v>0.47619</v>
      </c>
      <c r="L2" t="n">
        <v>7.14</v>
      </c>
      <c r="M2" t="n">
        <v>1.7</v>
      </c>
    </row>
    <row r="3">
      <c r="A3" t="inlineStr">
        <is>
          <t>BMW</t>
        </is>
      </c>
      <c r="B3" t="n">
        <v>4.15</v>
      </c>
      <c r="C3" t="n">
        <v>4.2</v>
      </c>
      <c r="D3" t="n">
        <v>3.5</v>
      </c>
      <c r="E3" t="n">
        <v>1</v>
      </c>
      <c r="F3" t="n">
        <v>1</v>
      </c>
      <c r="G3" t="n">
        <v>5</v>
      </c>
      <c r="H3" t="n">
        <v>2.5</v>
      </c>
      <c r="I3" t="n">
        <v>0</v>
      </c>
      <c r="J3" t="n">
        <v>0.04999999999999982</v>
      </c>
      <c r="K3" t="n">
        <v>0.888889</v>
      </c>
      <c r="L3" t="n">
        <v>0</v>
      </c>
      <c r="M3" t="n">
        <v>0</v>
      </c>
      <c r="S3" t="inlineStr">
        <is>
          <t>Brand</t>
        </is>
      </c>
      <c r="T3" t="inlineStr">
        <is>
          <t>Rank_Blue</t>
        </is>
      </c>
      <c r="U3" t="inlineStr">
        <is>
          <t>Rank_Red</t>
        </is>
      </c>
    </row>
    <row r="4">
      <c r="A4" t="inlineStr">
        <is>
          <t>Honda</t>
        </is>
      </c>
      <c r="B4" t="n">
        <v>3.4</v>
      </c>
      <c r="C4" t="n">
        <v>3.1</v>
      </c>
      <c r="D4" t="n">
        <v>11</v>
      </c>
      <c r="E4" t="n">
        <v>11</v>
      </c>
      <c r="F4" t="n">
        <v>14</v>
      </c>
      <c r="G4" t="n">
        <v>1.285714</v>
      </c>
      <c r="H4" t="n">
        <v>0</v>
      </c>
      <c r="I4" t="n">
        <v>0.1786</v>
      </c>
      <c r="J4" t="n">
        <v>-0.2999999999999998</v>
      </c>
      <c r="K4" t="n">
        <v>-1.825397</v>
      </c>
      <c r="L4" t="n">
        <v>17.86</v>
      </c>
      <c r="M4" t="n">
        <v>16.31</v>
      </c>
      <c r="S4" t="inlineStr">
        <is>
          <t>Audi</t>
        </is>
      </c>
      <c r="T4" t="n">
        <v>1</v>
      </c>
      <c r="U4" t="n">
        <v>5</v>
      </c>
    </row>
    <row r="5">
      <c r="A5" t="inlineStr">
        <is>
          <t>Hyundai</t>
        </is>
      </c>
      <c r="B5" t="n">
        <v>3.05</v>
      </c>
      <c r="C5" t="n">
        <v>2.8</v>
      </c>
      <c r="D5" t="n">
        <v>13</v>
      </c>
      <c r="E5" t="n">
        <v>14</v>
      </c>
      <c r="F5" t="n">
        <v>13</v>
      </c>
      <c r="G5" t="n">
        <v>1.571429</v>
      </c>
      <c r="H5" t="n">
        <v>-1</v>
      </c>
      <c r="I5" t="n">
        <v>0.07140000000000001</v>
      </c>
      <c r="J5" t="n">
        <v>-0.25</v>
      </c>
      <c r="K5" t="n">
        <v>-1.31746</v>
      </c>
      <c r="L5" t="n">
        <v>7.14</v>
      </c>
      <c r="M5" t="n">
        <v>4.701</v>
      </c>
      <c r="S5" t="inlineStr">
        <is>
          <t>BMW</t>
        </is>
      </c>
      <c r="T5" t="n">
        <v>3.5</v>
      </c>
      <c r="U5" t="n">
        <v>1</v>
      </c>
    </row>
    <row r="6">
      <c r="A6" t="inlineStr">
        <is>
          <t>Jaguar Land Rover</t>
        </is>
      </c>
      <c r="B6" t="n">
        <v>4</v>
      </c>
      <c r="C6" t="n">
        <v>3.8</v>
      </c>
      <c r="D6" t="n">
        <v>5</v>
      </c>
      <c r="E6" t="n">
        <v>3.5</v>
      </c>
      <c r="F6" t="n">
        <v>2</v>
      </c>
      <c r="G6" t="n">
        <v>4.714286</v>
      </c>
      <c r="H6" t="n">
        <v>1.5</v>
      </c>
      <c r="I6" t="n">
        <v>0.07140000000000001</v>
      </c>
      <c r="J6" t="n">
        <v>-0.2000000000000002</v>
      </c>
      <c r="K6" t="n">
        <v>0.825397</v>
      </c>
      <c r="L6" t="n">
        <v>7.14</v>
      </c>
      <c r="M6" t="n">
        <v>2.948</v>
      </c>
      <c r="S6" t="inlineStr">
        <is>
          <t>Honda</t>
        </is>
      </c>
      <c r="T6" t="n">
        <v>11</v>
      </c>
      <c r="U6" t="n">
        <v>11</v>
      </c>
    </row>
    <row r="7">
      <c r="A7" t="inlineStr">
        <is>
          <t>Mahindra</t>
        </is>
      </c>
      <c r="B7" t="n">
        <v>3.45</v>
      </c>
      <c r="C7" t="n">
        <v>3</v>
      </c>
      <c r="D7" t="n">
        <v>10</v>
      </c>
      <c r="E7" t="n">
        <v>12.5</v>
      </c>
      <c r="F7" t="n">
        <v>9</v>
      </c>
      <c r="G7" t="n">
        <v>2.714286</v>
      </c>
      <c r="H7" t="n">
        <v>-2.5</v>
      </c>
      <c r="I7" t="n">
        <v>0.1786</v>
      </c>
      <c r="J7" t="n">
        <v>-0.4500000000000002</v>
      </c>
      <c r="K7" t="n">
        <v>-0.396825</v>
      </c>
      <c r="L7" t="n">
        <v>17.86</v>
      </c>
      <c r="M7" t="n">
        <v>3.544</v>
      </c>
      <c r="S7" t="inlineStr">
        <is>
          <t>Hyundai</t>
        </is>
      </c>
      <c r="T7" t="n">
        <v>13</v>
      </c>
      <c r="U7" t="n">
        <v>14</v>
      </c>
    </row>
    <row r="8">
      <c r="A8" t="inlineStr">
        <is>
          <t>Mercedes-Benz</t>
        </is>
      </c>
      <c r="B8" t="n">
        <v>4.15</v>
      </c>
      <c r="C8" t="n">
        <v>3.9</v>
      </c>
      <c r="D8" t="n">
        <v>3.5</v>
      </c>
      <c r="E8" t="n">
        <v>2</v>
      </c>
      <c r="F8" t="n">
        <v>3</v>
      </c>
      <c r="G8" t="n">
        <v>4.428571</v>
      </c>
      <c r="H8" t="n">
        <v>1.5</v>
      </c>
      <c r="I8" t="n">
        <v>0.07140000000000001</v>
      </c>
      <c r="J8" t="n">
        <v>-0.2500000000000004</v>
      </c>
      <c r="K8" t="n">
        <v>0.428571</v>
      </c>
      <c r="L8" t="n">
        <v>7.14</v>
      </c>
      <c r="M8" t="n">
        <v>1.53</v>
      </c>
      <c r="S8" t="inlineStr">
        <is>
          <t>Jaguar Land Rover</t>
        </is>
      </c>
      <c r="T8" t="n">
        <v>5</v>
      </c>
      <c r="U8" t="n">
        <v>3</v>
      </c>
    </row>
    <row r="9">
      <c r="A9" t="inlineStr">
        <is>
          <t>Mini</t>
        </is>
      </c>
      <c r="B9" t="n">
        <v>3.65</v>
      </c>
      <c r="C9" t="n">
        <v>3.4</v>
      </c>
      <c r="D9" t="n">
        <v>9</v>
      </c>
      <c r="E9" t="n">
        <v>9.5</v>
      </c>
      <c r="F9" t="n">
        <v>11</v>
      </c>
      <c r="G9" t="n">
        <v>2.142857</v>
      </c>
      <c r="H9" t="n">
        <v>-0.5</v>
      </c>
      <c r="I9" t="n">
        <v>0.1429</v>
      </c>
      <c r="J9" t="n">
        <v>-0.25</v>
      </c>
      <c r="K9" t="n">
        <v>-1.301587</v>
      </c>
      <c r="L9" t="n">
        <v>14.29</v>
      </c>
      <c r="M9" t="n">
        <v>9.300000000000001</v>
      </c>
      <c r="S9" t="inlineStr">
        <is>
          <t>Mahindra</t>
        </is>
      </c>
      <c r="T9" t="n">
        <v>10</v>
      </c>
      <c r="U9" t="n">
        <v>12</v>
      </c>
    </row>
    <row r="10">
      <c r="A10" t="inlineStr">
        <is>
          <t>MG</t>
        </is>
      </c>
      <c r="B10" t="n">
        <v>3</v>
      </c>
      <c r="C10" t="n">
        <v>3</v>
      </c>
      <c r="D10" t="n">
        <v>14</v>
      </c>
      <c r="E10" t="n">
        <v>12.5</v>
      </c>
      <c r="F10" t="n">
        <v>12</v>
      </c>
      <c r="G10" t="n">
        <v>1.857143</v>
      </c>
      <c r="H10" t="n">
        <v>1.5</v>
      </c>
      <c r="I10" t="n">
        <v>0.07140000000000001</v>
      </c>
      <c r="J10" t="n">
        <v>0</v>
      </c>
      <c r="K10" t="n">
        <v>-1.142857</v>
      </c>
      <c r="L10" t="n">
        <v>7.14</v>
      </c>
      <c r="M10" t="n">
        <v>4.08</v>
      </c>
      <c r="S10" t="inlineStr">
        <is>
          <t>Mercedes-Benz</t>
        </is>
      </c>
      <c r="T10" t="n">
        <v>3.5</v>
      </c>
      <c r="U10" t="n">
        <v>2</v>
      </c>
    </row>
    <row r="11">
      <c r="A11" t="inlineStr">
        <is>
          <t>Skoda</t>
        </is>
      </c>
      <c r="B11" t="n">
        <v>3.7</v>
      </c>
      <c r="C11" t="n">
        <v>3.6</v>
      </c>
      <c r="D11" t="n">
        <v>7.5</v>
      </c>
      <c r="E11" t="n">
        <v>6.5</v>
      </c>
      <c r="F11" t="n">
        <v>8</v>
      </c>
      <c r="G11" t="n">
        <v>3</v>
      </c>
      <c r="H11" t="n">
        <v>1</v>
      </c>
      <c r="I11" t="n">
        <v>0.0357</v>
      </c>
      <c r="J11" t="n">
        <v>-0.1000000000000001</v>
      </c>
      <c r="K11" t="n">
        <v>-0.555556</v>
      </c>
      <c r="L11" t="n">
        <v>3.57</v>
      </c>
      <c r="M11" t="n">
        <v>0.992</v>
      </c>
      <c r="S11" t="inlineStr">
        <is>
          <t>Mini</t>
        </is>
      </c>
      <c r="T11" t="n">
        <v>9</v>
      </c>
      <c r="U11" t="n">
        <v>9</v>
      </c>
    </row>
    <row r="12">
      <c r="A12" t="inlineStr">
        <is>
          <t>Suzuki</t>
        </is>
      </c>
      <c r="B12" t="n">
        <v>2.9</v>
      </c>
      <c r="C12" t="n">
        <v>2.3</v>
      </c>
      <c r="D12" t="n">
        <v>15</v>
      </c>
      <c r="E12" t="n">
        <v>15</v>
      </c>
      <c r="F12" t="n">
        <v>15</v>
      </c>
      <c r="G12" t="n">
        <v>1</v>
      </c>
      <c r="H12" t="n">
        <v>0</v>
      </c>
      <c r="I12" t="n">
        <v>0</v>
      </c>
      <c r="J12" t="n">
        <v>-0.6000000000000001</v>
      </c>
      <c r="K12" t="n">
        <v>-1</v>
      </c>
      <c r="L12" t="n">
        <v>0</v>
      </c>
      <c r="M12" t="n">
        <v>0</v>
      </c>
      <c r="S12" t="inlineStr">
        <is>
          <t>MG</t>
        </is>
      </c>
      <c r="T12" t="n">
        <v>14</v>
      </c>
      <c r="U12" t="n">
        <v>13</v>
      </c>
    </row>
    <row r="13">
      <c r="A13" t="inlineStr">
        <is>
          <t>Tata</t>
        </is>
      </c>
      <c r="B13" t="n">
        <v>3.3</v>
      </c>
      <c r="C13" t="n">
        <v>3.5</v>
      </c>
      <c r="D13" t="n">
        <v>12</v>
      </c>
      <c r="E13" t="n">
        <v>8</v>
      </c>
      <c r="F13" t="n">
        <v>10</v>
      </c>
      <c r="G13" t="n">
        <v>2.428571</v>
      </c>
      <c r="H13" t="n">
        <v>4</v>
      </c>
      <c r="I13" t="n">
        <v>0.1786</v>
      </c>
      <c r="J13" t="n">
        <v>0.2000000000000002</v>
      </c>
      <c r="K13" t="n">
        <v>-1.126985</v>
      </c>
      <c r="L13" t="n">
        <v>17.86</v>
      </c>
      <c r="M13" t="n">
        <v>10.056</v>
      </c>
      <c r="S13" t="inlineStr">
        <is>
          <t>Skoda</t>
        </is>
      </c>
      <c r="T13" t="n">
        <v>7.5</v>
      </c>
      <c r="U13" t="n">
        <v>7</v>
      </c>
    </row>
    <row r="14">
      <c r="A14" t="inlineStr">
        <is>
          <t>Toyota</t>
        </is>
      </c>
      <c r="B14" t="n">
        <v>3.7</v>
      </c>
      <c r="C14" t="n">
        <v>3.6</v>
      </c>
      <c r="D14" t="n">
        <v>7.5</v>
      </c>
      <c r="E14" t="n">
        <v>6.5</v>
      </c>
      <c r="F14" t="n">
        <v>6</v>
      </c>
      <c r="G14" t="n">
        <v>3.571429</v>
      </c>
      <c r="H14" t="n">
        <v>1</v>
      </c>
      <c r="I14" t="n">
        <v>0.07140000000000001</v>
      </c>
      <c r="J14" t="n">
        <v>-0.1000000000000001</v>
      </c>
      <c r="K14" t="n">
        <v>-0.095238</v>
      </c>
      <c r="L14" t="n">
        <v>7.14</v>
      </c>
      <c r="M14" t="n">
        <v>0.34</v>
      </c>
      <c r="S14" t="inlineStr">
        <is>
          <t>Suzuki</t>
        </is>
      </c>
      <c r="T14" t="n">
        <v>15</v>
      </c>
      <c r="U14" t="n">
        <v>15</v>
      </c>
    </row>
    <row r="15">
      <c r="A15" t="inlineStr">
        <is>
          <t>Volvo</t>
        </is>
      </c>
      <c r="B15" t="n">
        <v>4.25</v>
      </c>
      <c r="C15" t="n">
        <v>3.8</v>
      </c>
      <c r="D15" t="n">
        <v>2</v>
      </c>
      <c r="E15" t="n">
        <v>3.5</v>
      </c>
      <c r="F15" t="n">
        <v>5</v>
      </c>
      <c r="G15" t="n">
        <v>3.857143</v>
      </c>
      <c r="H15" t="n">
        <v>-1.5</v>
      </c>
      <c r="I15" t="n">
        <v>0</v>
      </c>
      <c r="J15" t="n">
        <v>-0.4500000000000002</v>
      </c>
      <c r="K15" t="n">
        <v>0.190476</v>
      </c>
      <c r="L15" t="n">
        <v>0</v>
      </c>
      <c r="M15" t="n">
        <v>0</v>
      </c>
      <c r="S15" t="inlineStr">
        <is>
          <t>Tata</t>
        </is>
      </c>
      <c r="T15" t="n">
        <v>12</v>
      </c>
      <c r="U15" t="n">
        <v>8</v>
      </c>
    </row>
    <row r="16">
      <c r="A16" t="inlineStr">
        <is>
          <t>Volkswagen</t>
        </is>
      </c>
      <c r="B16" t="n">
        <v>3.9</v>
      </c>
      <c r="C16" t="n">
        <v>3.4</v>
      </c>
      <c r="D16" t="n">
        <v>6</v>
      </c>
      <c r="E16" t="n">
        <v>9.5</v>
      </c>
      <c r="F16" t="n">
        <v>7</v>
      </c>
      <c r="G16" t="n">
        <v>3.285714</v>
      </c>
      <c r="H16" t="n">
        <v>-3.5</v>
      </c>
      <c r="I16" t="n">
        <v>0.2143</v>
      </c>
      <c r="J16" t="n">
        <v>-0.5</v>
      </c>
      <c r="K16" t="n">
        <v>-0.380953</v>
      </c>
      <c r="L16" t="n">
        <v>21.43</v>
      </c>
      <c r="M16" t="n">
        <v>4.083</v>
      </c>
      <c r="S16" t="inlineStr">
        <is>
          <t>Toyota</t>
        </is>
      </c>
      <c r="T16" t="n">
        <v>7.5</v>
      </c>
      <c r="U16" t="n">
        <v>6</v>
      </c>
    </row>
    <row r="17">
      <c r="S17" t="inlineStr">
        <is>
          <t>Volvo</t>
        </is>
      </c>
      <c r="T17" t="n">
        <v>2</v>
      </c>
      <c r="U17" t="n">
        <v>4</v>
      </c>
    </row>
    <row r="18">
      <c r="S18" t="inlineStr">
        <is>
          <t>Volkswagen</t>
        </is>
      </c>
      <c r="T18" t="n">
        <v>6</v>
      </c>
      <c r="U18" t="n">
        <v>10</v>
      </c>
    </row>
    <row r="20">
      <c r="L20" t="inlineStr">
        <is>
          <t>Brand</t>
        </is>
      </c>
      <c r="M20" t="inlineStr">
        <is>
          <t>Rank_Red</t>
        </is>
      </c>
      <c r="N20" t="inlineStr">
        <is>
          <t>Producer_Rank</t>
        </is>
      </c>
      <c r="P20" t="inlineStr">
        <is>
          <t>Brand</t>
        </is>
      </c>
      <c r="Q20" t="inlineStr">
        <is>
          <t>Normalized_M</t>
        </is>
      </c>
    </row>
    <row r="21">
      <c r="L21" t="inlineStr">
        <is>
          <t>Audi</t>
        </is>
      </c>
      <c r="M21" t="n">
        <v>5</v>
      </c>
      <c r="N21" t="n">
        <v>4</v>
      </c>
      <c r="P21" t="inlineStr">
        <is>
          <t>Audi</t>
        </is>
      </c>
      <c r="Q21" t="n">
        <v>0.07140000000000001</v>
      </c>
    </row>
    <row r="22">
      <c r="L22" t="inlineStr">
        <is>
          <t>BMW</t>
        </is>
      </c>
      <c r="M22" t="n">
        <v>1</v>
      </c>
      <c r="N22" t="n">
        <v>1</v>
      </c>
      <c r="P22" t="inlineStr">
        <is>
          <t>BMW</t>
        </is>
      </c>
      <c r="Q22" t="n">
        <v>0</v>
      </c>
    </row>
    <row r="23">
      <c r="L23" t="inlineStr">
        <is>
          <t>Honda</t>
        </is>
      </c>
      <c r="M23" t="n">
        <v>11.5</v>
      </c>
      <c r="N23" t="n">
        <v>14</v>
      </c>
      <c r="P23" t="inlineStr">
        <is>
          <t>Honda</t>
        </is>
      </c>
      <c r="Q23" t="n">
        <v>0.1786</v>
      </c>
    </row>
    <row r="24">
      <c r="L24" t="inlineStr">
        <is>
          <t>Hyundai</t>
        </is>
      </c>
      <c r="M24" t="n">
        <v>14</v>
      </c>
      <c r="N24" t="n">
        <v>13</v>
      </c>
      <c r="P24" t="inlineStr">
        <is>
          <t>Hyundai</t>
        </is>
      </c>
      <c r="Q24" t="n">
        <v>0.07140000000000001</v>
      </c>
      <c r="T24" t="inlineStr">
        <is>
          <t>Brand</t>
        </is>
      </c>
      <c r="U24" t="inlineStr">
        <is>
          <t>Area_index</t>
        </is>
      </c>
    </row>
    <row r="25">
      <c r="L25" t="inlineStr">
        <is>
          <t>Jaguar Land Rover</t>
        </is>
      </c>
      <c r="M25" t="n">
        <v>3</v>
      </c>
      <c r="N25" t="n">
        <v>2</v>
      </c>
      <c r="P25" t="inlineStr">
        <is>
          <t>Jaguar Land Rover</t>
        </is>
      </c>
      <c r="Q25" t="n">
        <v>0.07140000000000001</v>
      </c>
      <c r="T25" t="inlineStr">
        <is>
          <t>Audi</t>
        </is>
      </c>
      <c r="U25" t="n">
        <v>1.7</v>
      </c>
    </row>
    <row r="26">
      <c r="L26" t="inlineStr">
        <is>
          <t>Mahindra</t>
        </is>
      </c>
      <c r="M26" t="n">
        <v>11.5</v>
      </c>
      <c r="N26" t="n">
        <v>9</v>
      </c>
      <c r="P26" t="inlineStr">
        <is>
          <t>Mahindra</t>
        </is>
      </c>
      <c r="Q26" t="n">
        <v>0.1786</v>
      </c>
      <c r="T26" t="inlineStr">
        <is>
          <t>BMW</t>
        </is>
      </c>
      <c r="U26" t="n">
        <v>0</v>
      </c>
    </row>
    <row r="27">
      <c r="L27" t="inlineStr">
        <is>
          <t>Mercedes-Benz</t>
        </is>
      </c>
      <c r="M27" t="n">
        <v>2</v>
      </c>
      <c r="N27" t="n">
        <v>3</v>
      </c>
      <c r="P27" t="inlineStr">
        <is>
          <t>Mercedes-Benz</t>
        </is>
      </c>
      <c r="Q27" t="n">
        <v>0.07140000000000001</v>
      </c>
      <c r="T27" t="inlineStr">
        <is>
          <t>Honda</t>
        </is>
      </c>
      <c r="U27" t="n">
        <v>16.31</v>
      </c>
    </row>
    <row r="28">
      <c r="L28" t="inlineStr">
        <is>
          <t>Mini</t>
        </is>
      </c>
      <c r="M28" t="n">
        <v>9</v>
      </c>
      <c r="N28" t="n">
        <v>11</v>
      </c>
      <c r="P28" t="inlineStr">
        <is>
          <t>Mini</t>
        </is>
      </c>
      <c r="Q28" t="n">
        <v>0.1429</v>
      </c>
      <c r="T28" t="inlineStr">
        <is>
          <t>Hyundai</t>
        </is>
      </c>
      <c r="U28" t="n">
        <v>4.701</v>
      </c>
    </row>
    <row r="29">
      <c r="L29" t="inlineStr">
        <is>
          <t>MG</t>
        </is>
      </c>
      <c r="M29" t="n">
        <v>13</v>
      </c>
      <c r="N29" t="n">
        <v>12</v>
      </c>
      <c r="P29" t="inlineStr">
        <is>
          <t>MG</t>
        </is>
      </c>
      <c r="Q29" t="n">
        <v>0.07140000000000001</v>
      </c>
      <c r="T29" t="inlineStr">
        <is>
          <t>Jaguar Land Rover</t>
        </is>
      </c>
      <c r="U29" t="n">
        <v>2.948</v>
      </c>
    </row>
    <row r="30">
      <c r="L30" t="inlineStr">
        <is>
          <t>Skoda</t>
        </is>
      </c>
      <c r="M30" t="n">
        <v>7.5</v>
      </c>
      <c r="N30" t="n">
        <v>8</v>
      </c>
      <c r="P30" t="inlineStr">
        <is>
          <t>Skoda</t>
        </is>
      </c>
      <c r="Q30" t="n">
        <v>0.0357</v>
      </c>
      <c r="T30" t="inlineStr">
        <is>
          <t>Mahindra</t>
        </is>
      </c>
      <c r="U30" t="n">
        <v>3.544</v>
      </c>
    </row>
    <row r="31">
      <c r="L31" t="inlineStr">
        <is>
          <t>Suzuki</t>
        </is>
      </c>
      <c r="M31" t="n">
        <v>15</v>
      </c>
      <c r="N31" t="n">
        <v>15</v>
      </c>
      <c r="P31" t="inlineStr">
        <is>
          <t>Suzuki</t>
        </is>
      </c>
      <c r="Q31" t="n">
        <v>0</v>
      </c>
      <c r="T31" t="inlineStr">
        <is>
          <t>Mercedes-Benz</t>
        </is>
      </c>
      <c r="U31" t="n">
        <v>1.53</v>
      </c>
    </row>
    <row r="32">
      <c r="L32" t="inlineStr">
        <is>
          <t>Tata</t>
        </is>
      </c>
      <c r="M32" t="n">
        <v>7.5</v>
      </c>
      <c r="N32" t="n">
        <v>10</v>
      </c>
      <c r="P32" t="inlineStr">
        <is>
          <t>Tata</t>
        </is>
      </c>
      <c r="Q32" t="n">
        <v>0.1786</v>
      </c>
      <c r="T32" t="inlineStr">
        <is>
          <t>Mini</t>
        </is>
      </c>
      <c r="U32" t="n">
        <v>9.300000000000001</v>
      </c>
    </row>
    <row r="33">
      <c r="L33" t="inlineStr">
        <is>
          <t>Toyota</t>
        </is>
      </c>
      <c r="M33" t="n">
        <v>5</v>
      </c>
      <c r="N33" t="n">
        <v>6</v>
      </c>
      <c r="P33" t="inlineStr">
        <is>
          <t>Toyota</t>
        </is>
      </c>
      <c r="Q33" t="n">
        <v>0.07140000000000001</v>
      </c>
      <c r="T33" t="inlineStr">
        <is>
          <t>MG</t>
        </is>
      </c>
      <c r="U33" t="n">
        <v>4.08</v>
      </c>
    </row>
    <row r="34">
      <c r="L34" t="inlineStr">
        <is>
          <t>Volvo</t>
        </is>
      </c>
      <c r="M34" t="n">
        <v>5</v>
      </c>
      <c r="N34" t="n">
        <v>5</v>
      </c>
      <c r="P34" t="inlineStr">
        <is>
          <t>Volvo</t>
        </is>
      </c>
      <c r="Q34" t="n">
        <v>0</v>
      </c>
      <c r="T34" t="inlineStr">
        <is>
          <t>Skoda</t>
        </is>
      </c>
      <c r="U34" t="n">
        <v>0.992</v>
      </c>
    </row>
    <row r="35">
      <c r="L35" t="inlineStr">
        <is>
          <t>Volkswagen</t>
        </is>
      </c>
      <c r="M35" t="n">
        <v>10</v>
      </c>
      <c r="N35" t="n">
        <v>7</v>
      </c>
      <c r="P35" t="inlineStr">
        <is>
          <t>Volkswagen</t>
        </is>
      </c>
      <c r="Q35" t="n">
        <v>0.2143</v>
      </c>
      <c r="T35" t="inlineStr">
        <is>
          <t>Suzuki</t>
        </is>
      </c>
      <c r="U35" t="n">
        <v>0</v>
      </c>
    </row>
    <row r="36">
      <c r="T36" t="inlineStr">
        <is>
          <t>Tata</t>
        </is>
      </c>
      <c r="U36" t="n">
        <v>10.056</v>
      </c>
    </row>
    <row r="37">
      <c r="T37" t="inlineStr">
        <is>
          <t>Toyota</t>
        </is>
      </c>
      <c r="U37" t="n">
        <v>0.34</v>
      </c>
    </row>
    <row r="38">
      <c r="T38" t="inlineStr">
        <is>
          <t>Volvo</t>
        </is>
      </c>
      <c r="U38" t="n">
        <v>0</v>
      </c>
    </row>
    <row r="39">
      <c r="T39" t="inlineStr">
        <is>
          <t>Volkswagen</t>
        </is>
      </c>
      <c r="U39" t="n">
        <v>4.083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Siddhant Sathe</dc:creator>
  <dcterms:created xmlns:dcterms="http://purl.org/dc/terms/" xmlns:xsi="http://www.w3.org/2001/XMLSchema-instance" xsi:type="dcterms:W3CDTF">2025-12-09T03:06:20Z</dcterms:created>
  <dcterms:modified xmlns:dcterms="http://purl.org/dc/terms/" xmlns:xsi="http://www.w3.org/2001/XMLSchema-instance" xsi:type="dcterms:W3CDTF">2026-03-04T02:50:37Z</dcterms:modified>
  <cp:lastModifiedBy>Siddhant Sathe</cp:lastModifiedBy>
</cp:coreProperties>
</file>