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Sidhant/Downloads/EE (econ) copy/Survey Consumer Data collected/Consumer survey data/"/>
    </mc:Choice>
  </mc:AlternateContent>
  <xr:revisionPtr revIDLastSave="0" documentId="13_ncr:1_{7BC3D05F-11B6-DE49-9896-9E92B8C2ED89}" xr6:coauthVersionLast="47" xr6:coauthVersionMax="47" xr10:uidLastSave="{00000000-0000-0000-0000-000000000000}"/>
  <bookViews>
    <workbookView xWindow="0" yWindow="600" windowWidth="28800" windowHeight="16160" xr2:uid="{00000000-000D-0000-FFFF-FFFF00000000}"/>
  </bookViews>
  <sheets>
    <sheet name="Form Responses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2" i="1" l="1"/>
  <c r="AC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W22" i="1"/>
  <c r="X22" i="1"/>
  <c r="Y22" i="1"/>
  <c r="G22" i="1"/>
</calcChain>
</file>

<file path=xl/sharedStrings.xml><?xml version="1.0" encoding="utf-8"?>
<sst xmlns="http://schemas.openxmlformats.org/spreadsheetml/2006/main" count="237" uniqueCount="138">
  <si>
    <t>Timestamp</t>
  </si>
  <si>
    <t>What's your gender?</t>
  </si>
  <si>
    <t>What car (company and model) do you currently own?</t>
  </si>
  <si>
    <t>What year did you purchase this car?</t>
  </si>
  <si>
    <t>What was the purchase price?</t>
  </si>
  <si>
    <t>What's your current family income range in rupees? (this is an anonymous survey so your name won't be recorded: the interviewers have not and will not include any personal details in their data collection ensuring all responses remain anonymous.)</t>
  </si>
  <si>
    <t>Rate these car companies based on safety. (5 is the best and 1 is the worst) [Audi]</t>
  </si>
  <si>
    <t>Rate these car companies based on safety. (5 is the best and 1 is the worst) [BMW]</t>
  </si>
  <si>
    <t>Rate these car companies based on safety. (5 is the best and 1 is the worst) [Honda]</t>
  </si>
  <si>
    <t>Rate these car companies based on safety. (5 is the best and 1 is the worst) [Hyundai]</t>
  </si>
  <si>
    <t>Rate these car companies based on safety. (5 is the best and 1 is the worst) [Jaguar Land Rover]</t>
  </si>
  <si>
    <t>Rate these car companies based on safety. (5 is the best and 1 is the worst) [Mahindra]</t>
  </si>
  <si>
    <t>Rate these car companies based on safety. (5 is the best and 1 is the worst) [Mercedes Benz]</t>
  </si>
  <si>
    <t>Rate these car companies based on safety. (5 is the best and 1 is the worst) [Mini Cooper]</t>
  </si>
  <si>
    <t>Rate these car companies based on safety. (5 is the best and 1 is the worst) [Morris Garages (MG)]</t>
  </si>
  <si>
    <t>Rate these car companies based on safety. (5 is the best and 1 is the worst) [Skoda]</t>
  </si>
  <si>
    <t>Rate these car companies based on safety. (5 is the best and 1 is the worst) [Suzuki]</t>
  </si>
  <si>
    <t>Rate these car companies based on safety. (5 is the best and 1 is the worst) [Tata]</t>
  </si>
  <si>
    <t>Rate these car companies based on safety. (5 is the best and 1 is the worst) [Toyota]</t>
  </si>
  <si>
    <t>Rate these car companies based on safety. (5 is the best and 1 is the worst) [Volvo]</t>
  </si>
  <si>
    <t>Rate these car companies based on safety. (5 is the best and 1 is the worst) [Volkswagen]</t>
  </si>
  <si>
    <t>What car (company) on the market amongst these do you think is the safest?</t>
  </si>
  <si>
    <t>How familiar are you with this car brand?</t>
  </si>
  <si>
    <t>How much do you trust this brand overall?</t>
  </si>
  <si>
    <t>How suitable do you think this model is for regular highway use?</t>
  </si>
  <si>
    <t>Which features (of the list below) do you value the most when purchasing a car?</t>
  </si>
  <si>
    <t>What price range would you consider fair for this car?</t>
  </si>
  <si>
    <t>How confident would you feel driving this model on the highway / inter-city?</t>
  </si>
  <si>
    <t>How likely are you to consider this model for your next purchase?</t>
  </si>
  <si>
    <t>Who do you think would prefer this car the most?</t>
  </si>
  <si>
    <t>What do you think are the disadvantages of this model?</t>
  </si>
  <si>
    <t>Female</t>
  </si>
  <si>
    <t>BMW330 LI</t>
  </si>
  <si>
    <t>1.25 Cr+</t>
  </si>
  <si>
    <t>Volvo</t>
  </si>
  <si>
    <t>Driving comfort, Long-distance performance, Technological sophistication</t>
  </si>
  <si>
    <t>Highway travellers</t>
  </si>
  <si>
    <t>Nothing in particular</t>
  </si>
  <si>
    <t>Maruti ciaz</t>
  </si>
  <si>
    <t>25 Lakh - 50 Lakh</t>
  </si>
  <si>
    <t>Jaguar Land Rover</t>
  </si>
  <si>
    <t>Driving comfort, Long-distance performance, Reliability over time, Total ownership cost</t>
  </si>
  <si>
    <t>Family users</t>
  </si>
  <si>
    <t>Technological glitches</t>
  </si>
  <si>
    <t>Male</t>
  </si>
  <si>
    <t xml:space="preserve">Mahindra XUV 700 </t>
  </si>
  <si>
    <t>0 - 25 Lakh</t>
  </si>
  <si>
    <t>Driving comfort</t>
  </si>
  <si>
    <t xml:space="preserve">Maruti Suzuki Grand vitara </t>
  </si>
  <si>
    <t>Skoda</t>
  </si>
  <si>
    <t>Driving comfort, Long-distance performance, Technological sophistication, Reliability over time</t>
  </si>
  <si>
    <t>Mahindra xuv 300</t>
  </si>
  <si>
    <t>1 Crore - 1.25 Crore</t>
  </si>
  <si>
    <t>Mercedes Benz</t>
  </si>
  <si>
    <t>Total ownership cost</t>
  </si>
  <si>
    <t>Luxury-focused drivers</t>
  </si>
  <si>
    <t xml:space="preserve">Kia Carnival </t>
  </si>
  <si>
    <t>75 Lakh - 1 Crore</t>
  </si>
  <si>
    <t xml:space="preserve">Toyota Altus </t>
  </si>
  <si>
    <t>50 Lakh - 75 Lakh</t>
  </si>
  <si>
    <t>Reliability over time</t>
  </si>
  <si>
    <t>Resale value</t>
  </si>
  <si>
    <t>Kia seltos</t>
  </si>
  <si>
    <t>Driving comfort, Long-distance performance, Total ownership cost</t>
  </si>
  <si>
    <t>Maintenance expenses</t>
  </si>
  <si>
    <t>Kia</t>
  </si>
  <si>
    <t>BMW</t>
  </si>
  <si>
    <t>Urban commuters</t>
  </si>
  <si>
    <t>WagonR</t>
  </si>
  <si>
    <t>Toyota</t>
  </si>
  <si>
    <t>Driving comfort, Long-distance performance, Reliability over time</t>
  </si>
  <si>
    <t>Maruti Suzuki Grand Vitara Hybrid</t>
  </si>
  <si>
    <t>Suzuki</t>
  </si>
  <si>
    <t>Driving comfort, Long-distance performance, Technological sophistication, Reliability over time, Total ownership cost, Customizations</t>
  </si>
  <si>
    <t>Hyundai santro</t>
  </si>
  <si>
    <t>Maruti</t>
  </si>
  <si>
    <t>Suzuki Baleno</t>
  </si>
  <si>
    <t>Audi</t>
  </si>
  <si>
    <t>Driving comfort, Technological sophistication, Customizations</t>
  </si>
  <si>
    <t>Suzuki XL 6</t>
  </si>
  <si>
    <t>Technological sophistication</t>
  </si>
  <si>
    <t>Performance-focused drivers</t>
  </si>
  <si>
    <t>Hundai Creta</t>
  </si>
  <si>
    <t>Family use</t>
  </si>
  <si>
    <t>Hyundai</t>
  </si>
  <si>
    <t>Driving comfort, Long-distance performance, Technological sophistication, Reliability over time, Total ownership cost</t>
  </si>
  <si>
    <t>Hyundai i10</t>
  </si>
  <si>
    <t>Tata</t>
  </si>
  <si>
    <t>Porsche Cayenne and Dodge Charger</t>
  </si>
  <si>
    <t>2018 and 2013</t>
  </si>
  <si>
    <t>Driving comfort, Long-distance performance, Technological sophistication, Total ownership cost</t>
  </si>
  <si>
    <t>Audi A6</t>
  </si>
  <si>
    <t>Driving comfort, Technological sophistication, Reliability over time, Total ownership cost</t>
  </si>
  <si>
    <t xml:space="preserve">Mercedes GLA </t>
  </si>
  <si>
    <t>Driving comfort, Technological sophistication</t>
  </si>
  <si>
    <t>Company</t>
  </si>
  <si>
    <t>Model Commonly Perceived as Safe</t>
  </si>
  <si>
    <r>
      <t>XC90</t>
    </r>
    <r>
      <rPr>
        <sz val="10"/>
        <color rgb="FF000000"/>
        <rFont val="Arial"/>
        <family val="2"/>
        <scheme val="minor"/>
      </rPr>
      <t xml:space="preserve"> (globally regarded as one of the safest cars ever tested)</t>
    </r>
  </si>
  <si>
    <r>
      <t>Range Rover Sport</t>
    </r>
    <r>
      <rPr>
        <sz val="10"/>
        <color rgb="FF000000"/>
        <rFont val="Arial"/>
        <family val="2"/>
        <scheme val="minor"/>
      </rPr>
      <t xml:space="preserve"> (heavy, stable, strong crash structure)</t>
    </r>
  </si>
  <si>
    <r>
      <t>XC60</t>
    </r>
    <r>
      <rPr>
        <sz val="10"/>
        <color rgb="FF000000"/>
        <rFont val="Arial"/>
        <family val="2"/>
        <scheme val="minor"/>
      </rPr>
      <t xml:space="preserve"> (strong Euro NCAP + public safety perception)</t>
    </r>
  </si>
  <si>
    <r>
      <t>Kodiaq</t>
    </r>
    <r>
      <rPr>
        <sz val="10"/>
        <color rgb="FF000000"/>
        <rFont val="Arial"/>
        <family val="2"/>
        <scheme val="minor"/>
      </rPr>
      <t xml:space="preserve"> (5-star Euro NCAP, solid build)</t>
    </r>
  </si>
  <si>
    <r>
      <t>GLE</t>
    </r>
    <r>
      <rPr>
        <sz val="10"/>
        <color rgb="FF000000"/>
        <rFont val="Arial"/>
        <family val="2"/>
        <scheme val="minor"/>
      </rPr>
      <t xml:space="preserve"> (mature safety tech + consumer trust)</t>
    </r>
  </si>
  <si>
    <r>
      <t>S90</t>
    </r>
    <r>
      <rPr>
        <sz val="10"/>
        <color rgb="FF000000"/>
        <rFont val="Arial"/>
        <family val="2"/>
        <scheme val="minor"/>
      </rPr>
      <t xml:space="preserve"> (sedan known for luxury + safety fusion)</t>
    </r>
  </si>
  <si>
    <r>
      <t>XC40</t>
    </r>
    <r>
      <rPr>
        <sz val="10"/>
        <color rgb="FF000000"/>
        <rFont val="Arial"/>
        <family val="2"/>
        <scheme val="minor"/>
      </rPr>
      <t xml:space="preserve"> (top-rated safety for compact SUV segment)</t>
    </r>
  </si>
  <si>
    <r>
      <t>V60 Cross Country</t>
    </r>
    <r>
      <rPr>
        <sz val="10"/>
        <color rgb="FF000000"/>
        <rFont val="Arial"/>
        <family val="2"/>
        <scheme val="minor"/>
      </rPr>
      <t xml:space="preserve"> (strong Scandinavian safety reputation)</t>
    </r>
  </si>
  <si>
    <r>
      <t>X5</t>
    </r>
    <r>
      <rPr>
        <sz val="10"/>
        <color rgb="FF000000"/>
        <rFont val="Arial"/>
        <family val="2"/>
        <scheme val="minor"/>
      </rPr>
      <t xml:space="preserve"> (perceived safe due to size, stability, driver assist tech)</t>
    </r>
  </si>
  <si>
    <r>
      <t>Fortuner</t>
    </r>
    <r>
      <rPr>
        <sz val="10"/>
        <color rgb="FF000000"/>
        <rFont val="Arial"/>
        <family val="2"/>
        <scheme val="minor"/>
      </rPr>
      <t xml:space="preserve"> (seen as large, rugged, safe for families)</t>
    </r>
  </si>
  <si>
    <r>
      <t>Vitara Brezza</t>
    </r>
    <r>
      <rPr>
        <sz val="10"/>
        <color rgb="FF000000"/>
        <rFont val="Arial"/>
        <family val="2"/>
        <scheme val="minor"/>
      </rPr>
      <t xml:space="preserve"> (among Maruti’s safer perceived models)</t>
    </r>
  </si>
  <si>
    <r>
      <t>5 Series</t>
    </r>
    <r>
      <rPr>
        <sz val="10"/>
        <color rgb="FF000000"/>
        <rFont val="Arial"/>
        <family val="2"/>
        <scheme val="minor"/>
      </rPr>
      <t xml:space="preserve"> (solid crash structure + extensive safety tech)</t>
    </r>
  </si>
  <si>
    <r>
      <t>Camry</t>
    </r>
    <r>
      <rPr>
        <sz val="10"/>
        <color rgb="FF000000"/>
        <rFont val="Arial"/>
        <family val="2"/>
        <scheme val="minor"/>
      </rPr>
      <t xml:space="preserve"> (long-standing consumer trust for safety &amp; reliability)</t>
    </r>
  </si>
  <si>
    <r>
      <t>Q7</t>
    </r>
    <r>
      <rPr>
        <sz val="10"/>
        <color rgb="FF000000"/>
        <rFont val="Arial"/>
        <family val="2"/>
        <scheme val="minor"/>
      </rPr>
      <t xml:space="preserve"> (large-bodied, perceived as very safe)</t>
    </r>
  </si>
  <si>
    <r>
      <t>Defender</t>
    </r>
    <r>
      <rPr>
        <sz val="10"/>
        <color rgb="FF000000"/>
        <rFont val="Arial"/>
        <family val="2"/>
        <scheme val="minor"/>
      </rPr>
      <t xml:space="preserve"> (iconic safety perception + off-road strength)</t>
    </r>
  </si>
  <si>
    <r>
      <t>Tucson</t>
    </r>
    <r>
      <rPr>
        <sz val="10"/>
        <color rgb="FF000000"/>
        <rFont val="Arial"/>
        <family val="2"/>
        <scheme val="minor"/>
      </rPr>
      <t xml:space="preserve"> (global 5-star ratings + strong safety perception)</t>
    </r>
  </si>
  <si>
    <r>
      <t>Safari</t>
    </r>
    <r>
      <rPr>
        <sz val="10"/>
        <color rgb="FF000000"/>
        <rFont val="Arial"/>
        <family val="2"/>
        <scheme val="minor"/>
      </rPr>
      <t xml:space="preserve"> (Indian market perceives it as strong &amp; safe)</t>
    </r>
  </si>
  <si>
    <r>
      <t>A6</t>
    </r>
    <r>
      <rPr>
        <sz val="10"/>
        <color rgb="FF000000"/>
        <rFont val="Arial"/>
        <family val="2"/>
        <scheme val="minor"/>
      </rPr>
      <t xml:space="preserve"> (popular luxury sedan with strong safety reputation)</t>
    </r>
  </si>
  <si>
    <r>
      <t>XC40 Recharge</t>
    </r>
    <r>
      <rPr>
        <sz val="10"/>
        <color rgb="FF000000"/>
        <rFont val="Arial"/>
        <family val="2"/>
        <scheme val="minor"/>
      </rPr>
      <t xml:space="preserve"> (EV with top-tier safety rating)</t>
    </r>
  </si>
  <si>
    <r>
      <t>GLS</t>
    </r>
    <r>
      <rPr>
        <sz val="10"/>
        <color rgb="FF000000"/>
        <rFont val="Arial"/>
        <family val="2"/>
        <scheme val="minor"/>
      </rPr>
      <t xml:space="preserve"> (flagship SUV known for safety + size advantage)</t>
    </r>
  </si>
  <si>
    <t>model</t>
  </si>
  <si>
    <t>XC90</t>
  </si>
  <si>
    <r>
      <t>Range Rover Sport</t>
    </r>
    <r>
      <rPr>
        <sz val="10"/>
        <color rgb="FF000000"/>
        <rFont val="Arial"/>
        <family val="2"/>
        <scheme val="minor"/>
      </rPr>
      <t xml:space="preserve"> </t>
    </r>
  </si>
  <si>
    <r>
      <t>XC60</t>
    </r>
    <r>
      <rPr>
        <sz val="10"/>
        <color rgb="FF000000"/>
        <rFont val="Arial"/>
        <family val="2"/>
        <scheme val="minor"/>
      </rPr>
      <t xml:space="preserve"> </t>
    </r>
  </si>
  <si>
    <r>
      <t>Kodiaq</t>
    </r>
    <r>
      <rPr>
        <sz val="10"/>
        <color rgb="FF000000"/>
        <rFont val="Arial"/>
        <family val="2"/>
        <scheme val="minor"/>
      </rPr>
      <t xml:space="preserve"> </t>
    </r>
  </si>
  <si>
    <t>GLE</t>
  </si>
  <si>
    <r>
      <t>S90</t>
    </r>
    <r>
      <rPr>
        <sz val="10"/>
        <color rgb="FF000000"/>
        <rFont val="Arial"/>
        <family val="2"/>
        <scheme val="minor"/>
      </rPr>
      <t xml:space="preserve"> </t>
    </r>
  </si>
  <si>
    <r>
      <t>XC40</t>
    </r>
    <r>
      <rPr>
        <sz val="10"/>
        <color rgb="FF000000"/>
        <rFont val="Arial"/>
        <family val="2"/>
        <scheme val="minor"/>
      </rPr>
      <t xml:space="preserve"> </t>
    </r>
  </si>
  <si>
    <r>
      <t>X5</t>
    </r>
    <r>
      <rPr>
        <sz val="10"/>
        <color rgb="FF000000"/>
        <rFont val="Arial"/>
        <family val="2"/>
        <scheme val="minor"/>
      </rPr>
      <t xml:space="preserve"> </t>
    </r>
  </si>
  <si>
    <r>
      <t>Fortuner</t>
    </r>
    <r>
      <rPr>
        <sz val="10"/>
        <color rgb="FF000000"/>
        <rFont val="Arial"/>
        <family val="2"/>
        <scheme val="minor"/>
      </rPr>
      <t xml:space="preserve"> </t>
    </r>
  </si>
  <si>
    <r>
      <t>Vitara Brezza</t>
    </r>
    <r>
      <rPr>
        <sz val="10"/>
        <color rgb="FF000000"/>
        <rFont val="Arial"/>
        <family val="2"/>
        <scheme val="minor"/>
      </rPr>
      <t xml:space="preserve"> </t>
    </r>
  </si>
  <si>
    <r>
      <t>5 Series</t>
    </r>
    <r>
      <rPr>
        <sz val="10"/>
        <color rgb="FF000000"/>
        <rFont val="Arial"/>
        <family val="2"/>
        <scheme val="minor"/>
      </rPr>
      <t xml:space="preserve"> </t>
    </r>
  </si>
  <si>
    <r>
      <t>Q7</t>
    </r>
    <r>
      <rPr>
        <sz val="10"/>
        <color rgb="FF000000"/>
        <rFont val="Arial"/>
        <family val="2"/>
        <scheme val="minor"/>
      </rPr>
      <t xml:space="preserve"> </t>
    </r>
  </si>
  <si>
    <r>
      <t>Defender</t>
    </r>
    <r>
      <rPr>
        <sz val="10"/>
        <color rgb="FF000000"/>
        <rFont val="Arial"/>
        <family val="2"/>
        <scheme val="minor"/>
      </rPr>
      <t xml:space="preserve"> </t>
    </r>
  </si>
  <si>
    <r>
      <t>Tucson</t>
    </r>
    <r>
      <rPr>
        <sz val="10"/>
        <color rgb="FF000000"/>
        <rFont val="Arial"/>
        <family val="2"/>
        <scheme val="minor"/>
      </rPr>
      <t xml:space="preserve"> </t>
    </r>
  </si>
  <si>
    <r>
      <t>Safari</t>
    </r>
    <r>
      <rPr>
        <sz val="10"/>
        <color rgb="FF000000"/>
        <rFont val="Arial"/>
        <family val="2"/>
        <scheme val="minor"/>
      </rPr>
      <t xml:space="preserve"> </t>
    </r>
  </si>
  <si>
    <r>
      <t>A6</t>
    </r>
    <r>
      <rPr>
        <sz val="10"/>
        <color rgb="FF000000"/>
        <rFont val="Arial"/>
        <family val="2"/>
        <scheme val="minor"/>
      </rPr>
      <t xml:space="preserve"> </t>
    </r>
  </si>
  <si>
    <r>
      <t>XC40 Recharge</t>
    </r>
    <r>
      <rPr>
        <sz val="10"/>
        <color rgb="FF000000"/>
        <rFont val="Arial"/>
        <family val="2"/>
        <scheme val="minor"/>
      </rPr>
      <t xml:space="preserve"> </t>
    </r>
  </si>
  <si>
    <r>
      <t>GLS</t>
    </r>
    <r>
      <rPr>
        <sz val="10"/>
        <color rgb="FF000000"/>
        <rFont val="Arial"/>
        <family val="2"/>
        <scheme val="minor"/>
      </rPr>
      <t xml:space="preserve"> </t>
    </r>
  </si>
  <si>
    <t>Ex-Showroom Price (India, Numbers Only)</t>
  </si>
  <si>
    <t xml:space="preserve">C40 Recharge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</si>
</sst>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center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AF22">
  <tableColumns count="32">
    <tableColumn id="1" xr3:uid="{00000000-0010-0000-0000-000001000000}" name="Timestamp"/>
    <tableColumn id="2" xr3:uid="{00000000-0010-0000-0000-000002000000}" name="What's your gender?"/>
    <tableColumn id="3" xr3:uid="{00000000-0010-0000-0000-000003000000}" name="What car (company and model) do you currently own?"/>
    <tableColumn id="4" xr3:uid="{00000000-0010-0000-0000-000004000000}" name="What year did you purchase this car?"/>
    <tableColumn id="5" xr3:uid="{00000000-0010-0000-0000-000005000000}" name="What was the purchase price?"/>
    <tableColumn id="6" xr3:uid="{00000000-0010-0000-0000-000006000000}" name="What's your current family income range in rupees? (this is an anonymous survey so your name won't be recorded: the interviewers have not and will not include any personal details in their data collection ensuring all responses remain anonymous.)"/>
    <tableColumn id="7" xr3:uid="{00000000-0010-0000-0000-000007000000}" name="Rate these car companies based on safety. (5 is the best and 1 is the worst) [Audi]"/>
    <tableColumn id="8" xr3:uid="{00000000-0010-0000-0000-000008000000}" name="Rate these car companies based on safety. (5 is the best and 1 is the worst) [BMW]"/>
    <tableColumn id="9" xr3:uid="{00000000-0010-0000-0000-000009000000}" name="Rate these car companies based on safety. (5 is the best and 1 is the worst) [Honda]"/>
    <tableColumn id="10" xr3:uid="{00000000-0010-0000-0000-00000A000000}" name="Rate these car companies based on safety. (5 is the best and 1 is the worst) [Hyundai]"/>
    <tableColumn id="11" xr3:uid="{00000000-0010-0000-0000-00000B000000}" name="Rate these car companies based on safety. (5 is the best and 1 is the worst) [Jaguar Land Rover]"/>
    <tableColumn id="12" xr3:uid="{00000000-0010-0000-0000-00000C000000}" name="Rate these car companies based on safety. (5 is the best and 1 is the worst) [Mahindra]"/>
    <tableColumn id="13" xr3:uid="{00000000-0010-0000-0000-00000D000000}" name="Rate these car companies based on safety. (5 is the best and 1 is the worst) [Mercedes Benz]"/>
    <tableColumn id="14" xr3:uid="{00000000-0010-0000-0000-00000E000000}" name="Rate these car companies based on safety. (5 is the best and 1 is the worst) [Mini Cooper]"/>
    <tableColumn id="15" xr3:uid="{00000000-0010-0000-0000-00000F000000}" name="Rate these car companies based on safety. (5 is the best and 1 is the worst) [Morris Garages (MG)]"/>
    <tableColumn id="16" xr3:uid="{00000000-0010-0000-0000-000010000000}" name="Rate these car companies based on safety. (5 is the best and 1 is the worst) [Skoda]"/>
    <tableColumn id="17" xr3:uid="{00000000-0010-0000-0000-000011000000}" name="Rate these car companies based on safety. (5 is the best and 1 is the worst) [Suzuki]"/>
    <tableColumn id="18" xr3:uid="{00000000-0010-0000-0000-000012000000}" name="Rate these car companies based on safety. (5 is the best and 1 is the worst) [Tata]"/>
    <tableColumn id="19" xr3:uid="{00000000-0010-0000-0000-000013000000}" name="Rate these car companies based on safety. (5 is the best and 1 is the worst) [Toyota]"/>
    <tableColumn id="20" xr3:uid="{00000000-0010-0000-0000-000014000000}" name="Rate these car companies based on safety. (5 is the best and 1 is the worst) [Volvo]"/>
    <tableColumn id="21" xr3:uid="{00000000-0010-0000-0000-000015000000}" name="Rate these car companies based on safety. (5 is the best and 1 is the worst) [Volkswagen]"/>
    <tableColumn id="22" xr3:uid="{00000000-0010-0000-0000-000016000000}" name="What car (company) on the market amongst these do you think is the safest?"/>
    <tableColumn id="23" xr3:uid="{00000000-0010-0000-0000-000017000000}" name="How familiar are you with this car brand?"/>
    <tableColumn id="24" xr3:uid="{00000000-0010-0000-0000-000018000000}" name="How much do you trust this brand overall?"/>
    <tableColumn id="25" xr3:uid="{00000000-0010-0000-0000-000019000000}" name="How suitable do you think this model is for regular highway use?"/>
    <tableColumn id="26" xr3:uid="{00000000-0010-0000-0000-00001A000000}" name="Which features (of the list below) do you value the most when purchasing a car?"/>
    <tableColumn id="27" xr3:uid="{00000000-0010-0000-0000-00001B000000}" name="What price range would you consider fair for this car?"/>
    <tableColumn id="28" xr3:uid="{00000000-0010-0000-0000-00001C000000}" name="How confident would you feel driving this model on the highway / inter-city?"/>
    <tableColumn id="29" xr3:uid="{00000000-0010-0000-0000-00001D000000}" name="How likely are you to consider this model for your next purchase?"/>
    <tableColumn id="30" xr3:uid="{00000000-0010-0000-0000-00001E000000}" name="Who do you think would prefer this car the most?"/>
    <tableColumn id="31" xr3:uid="{00000000-0010-0000-0000-00001F000000}" name="What do you think are the disadvantages of this model?"/>
    <tableColumn id="32" xr3:uid="{CE99463B-66FC-7643-AD4A-E48A50C55B3D}" name="model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L51"/>
  <sheetViews>
    <sheetView tabSelected="1" topLeftCell="AB1" workbookViewId="0">
      <pane ySplit="1" topLeftCell="A2" activePane="bottomLeft" state="frozen"/>
      <selection pane="bottomLeft" activeCell="AG1" sqref="AG1:AH21"/>
    </sheetView>
  </sheetViews>
  <sheetFormatPr baseColWidth="10" defaultColWidth="12.6640625" defaultRowHeight="15.75" customHeight="1" x14ac:dyDescent="0.15"/>
  <cols>
    <col min="1" max="1" width="18.83203125" customWidth="1"/>
    <col min="2" max="2" width="20" customWidth="1"/>
    <col min="3" max="3" width="37.6640625" customWidth="1"/>
    <col min="4" max="4" width="31.83203125" customWidth="1"/>
    <col min="5" max="5" width="27" customWidth="1"/>
    <col min="6" max="22" width="37.6640625" customWidth="1"/>
    <col min="23" max="23" width="34.6640625" customWidth="1"/>
    <col min="24" max="24" width="35.6640625" customWidth="1"/>
    <col min="25" max="31" width="37.6640625" customWidth="1"/>
    <col min="32" max="37" width="18.83203125" customWidth="1"/>
  </cols>
  <sheetData>
    <row r="1" spans="1:38" ht="22.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5" t="s">
        <v>117</v>
      </c>
      <c r="AG1" s="5"/>
      <c r="AH1" s="5"/>
      <c r="AI1" s="6"/>
      <c r="AJ1" s="6"/>
      <c r="AK1" s="6"/>
      <c r="AL1" s="6" t="s">
        <v>136</v>
      </c>
    </row>
    <row r="2" spans="1:38" ht="22.5" customHeight="1" x14ac:dyDescent="0.15">
      <c r="A2" s="2">
        <v>45989.521167847226</v>
      </c>
      <c r="B2" s="3" t="s">
        <v>31</v>
      </c>
      <c r="C2" s="3" t="s">
        <v>32</v>
      </c>
      <c r="D2" s="3">
        <v>2023</v>
      </c>
      <c r="E2" s="3">
        <v>7400000</v>
      </c>
      <c r="F2" s="3" t="s">
        <v>33</v>
      </c>
      <c r="G2" s="3">
        <v>3</v>
      </c>
      <c r="H2" s="3">
        <v>3</v>
      </c>
      <c r="I2" s="3">
        <v>3</v>
      </c>
      <c r="J2" s="3">
        <v>3</v>
      </c>
      <c r="K2" s="3">
        <v>4</v>
      </c>
      <c r="L2" s="3">
        <v>3</v>
      </c>
      <c r="M2" s="3">
        <v>3</v>
      </c>
      <c r="N2" s="3">
        <v>3</v>
      </c>
      <c r="O2" s="3">
        <v>3</v>
      </c>
      <c r="P2" s="3">
        <v>3</v>
      </c>
      <c r="Q2" s="3">
        <v>3</v>
      </c>
      <c r="R2" s="3">
        <v>2</v>
      </c>
      <c r="S2" s="3">
        <v>3</v>
      </c>
      <c r="T2" s="3">
        <v>3</v>
      </c>
      <c r="U2" s="3">
        <v>4</v>
      </c>
      <c r="V2" s="3" t="s">
        <v>34</v>
      </c>
      <c r="W2" s="3">
        <v>4</v>
      </c>
      <c r="X2" s="3">
        <v>4</v>
      </c>
      <c r="Y2" s="3">
        <v>4</v>
      </c>
      <c r="Z2" s="3" t="s">
        <v>35</v>
      </c>
      <c r="AA2" s="3">
        <v>8000000</v>
      </c>
      <c r="AB2" s="3">
        <v>3</v>
      </c>
      <c r="AC2" s="3">
        <v>3</v>
      </c>
      <c r="AD2" s="3" t="s">
        <v>36</v>
      </c>
      <c r="AE2" s="3" t="s">
        <v>37</v>
      </c>
      <c r="AF2" s="6" t="s">
        <v>118</v>
      </c>
      <c r="AI2" s="5"/>
      <c r="AJ2" s="5"/>
      <c r="AK2" s="5"/>
      <c r="AL2" s="5">
        <v>10300000</v>
      </c>
    </row>
    <row r="3" spans="1:38" ht="22.5" customHeight="1" x14ac:dyDescent="0.15">
      <c r="A3" s="2">
        <v>45989.542747372689</v>
      </c>
      <c r="B3" s="3" t="s">
        <v>31</v>
      </c>
      <c r="C3" s="3" t="s">
        <v>38</v>
      </c>
      <c r="D3" s="3">
        <v>2014</v>
      </c>
      <c r="E3" s="3">
        <v>1500000</v>
      </c>
      <c r="F3" s="3" t="s">
        <v>39</v>
      </c>
      <c r="G3" s="3">
        <v>1</v>
      </c>
      <c r="H3" s="3">
        <v>2</v>
      </c>
      <c r="I3" s="3">
        <v>3</v>
      </c>
      <c r="J3" s="3">
        <v>3</v>
      </c>
      <c r="K3" s="3">
        <v>1</v>
      </c>
      <c r="L3" s="3">
        <v>1</v>
      </c>
      <c r="M3" s="3">
        <v>1</v>
      </c>
      <c r="N3" s="3">
        <v>3</v>
      </c>
      <c r="O3" s="3">
        <v>1</v>
      </c>
      <c r="P3" s="3">
        <v>3</v>
      </c>
      <c r="Q3" s="3">
        <v>2</v>
      </c>
      <c r="R3" s="3">
        <v>2</v>
      </c>
      <c r="S3" s="3">
        <v>3</v>
      </c>
      <c r="T3" s="3">
        <v>2</v>
      </c>
      <c r="U3" s="3">
        <v>2</v>
      </c>
      <c r="V3" s="3" t="s">
        <v>40</v>
      </c>
      <c r="W3" s="3">
        <v>2</v>
      </c>
      <c r="X3" s="3">
        <v>2</v>
      </c>
      <c r="Y3" s="3">
        <v>3</v>
      </c>
      <c r="Z3" s="3" t="s">
        <v>41</v>
      </c>
      <c r="AA3" s="3">
        <v>2500000</v>
      </c>
      <c r="AB3" s="3">
        <v>3</v>
      </c>
      <c r="AC3" s="3">
        <v>3</v>
      </c>
      <c r="AD3" s="3" t="s">
        <v>42</v>
      </c>
      <c r="AE3" s="3" t="s">
        <v>43</v>
      </c>
      <c r="AF3" s="6" t="s">
        <v>119</v>
      </c>
      <c r="AI3" s="5"/>
      <c r="AJ3" s="5"/>
      <c r="AK3" s="5"/>
      <c r="AL3" s="5">
        <v>13800000</v>
      </c>
    </row>
    <row r="4" spans="1:38" ht="22.5" customHeight="1" x14ac:dyDescent="0.15">
      <c r="A4" s="2">
        <v>45989.546972280092</v>
      </c>
      <c r="B4" s="3" t="s">
        <v>44</v>
      </c>
      <c r="C4" s="3" t="s">
        <v>45</v>
      </c>
      <c r="D4" s="3">
        <v>2025</v>
      </c>
      <c r="E4" s="3">
        <v>3000000</v>
      </c>
      <c r="F4" s="3" t="s">
        <v>46</v>
      </c>
      <c r="G4" s="3">
        <v>4</v>
      </c>
      <c r="H4" s="3">
        <v>4</v>
      </c>
      <c r="I4" s="3">
        <v>3</v>
      </c>
      <c r="J4" s="3">
        <v>2</v>
      </c>
      <c r="K4" s="3">
        <v>3</v>
      </c>
      <c r="L4" s="3">
        <v>4</v>
      </c>
      <c r="M4" s="3">
        <v>4</v>
      </c>
      <c r="N4" s="3">
        <v>5</v>
      </c>
      <c r="O4" s="3">
        <v>3</v>
      </c>
      <c r="P4" s="3">
        <v>4</v>
      </c>
      <c r="Q4" s="3">
        <v>3</v>
      </c>
      <c r="R4" s="3">
        <v>3</v>
      </c>
      <c r="S4" s="3">
        <v>3</v>
      </c>
      <c r="T4" s="3">
        <v>4</v>
      </c>
      <c r="U4" s="3">
        <v>4</v>
      </c>
      <c r="V4" s="3" t="s">
        <v>34</v>
      </c>
      <c r="W4" s="3">
        <v>4</v>
      </c>
      <c r="X4" s="3">
        <v>4</v>
      </c>
      <c r="Y4" s="3">
        <v>5</v>
      </c>
      <c r="Z4" s="3" t="s">
        <v>47</v>
      </c>
      <c r="AA4" s="3">
        <v>4000000</v>
      </c>
      <c r="AB4" s="3">
        <v>5</v>
      </c>
      <c r="AC4" s="3">
        <v>5</v>
      </c>
      <c r="AD4" s="3" t="s">
        <v>42</v>
      </c>
      <c r="AE4" s="3" t="s">
        <v>37</v>
      </c>
      <c r="AF4" s="6" t="s">
        <v>120</v>
      </c>
      <c r="AI4" s="5"/>
      <c r="AJ4" s="5"/>
      <c r="AK4" s="5"/>
      <c r="AL4" s="5">
        <v>7190000</v>
      </c>
    </row>
    <row r="5" spans="1:38" ht="22.5" customHeight="1" x14ac:dyDescent="0.15">
      <c r="A5" s="2">
        <v>45989.547063958336</v>
      </c>
      <c r="B5" s="3" t="s">
        <v>31</v>
      </c>
      <c r="C5" s="3" t="s">
        <v>48</v>
      </c>
      <c r="D5" s="3">
        <v>2024</v>
      </c>
      <c r="E5" s="3">
        <v>2300000</v>
      </c>
      <c r="F5" s="3" t="s">
        <v>39</v>
      </c>
      <c r="G5" s="3">
        <v>5</v>
      </c>
      <c r="H5" s="3">
        <v>5</v>
      </c>
      <c r="I5" s="3">
        <v>4</v>
      </c>
      <c r="J5" s="3">
        <v>4</v>
      </c>
      <c r="K5" s="3">
        <v>4</v>
      </c>
      <c r="L5" s="3">
        <v>4</v>
      </c>
      <c r="M5" s="3">
        <v>4</v>
      </c>
      <c r="N5" s="3">
        <v>3</v>
      </c>
      <c r="O5" s="3">
        <v>3</v>
      </c>
      <c r="P5" s="3">
        <v>5</v>
      </c>
      <c r="Q5" s="3">
        <v>3</v>
      </c>
      <c r="R5" s="3">
        <v>3</v>
      </c>
      <c r="S5" s="3">
        <v>5</v>
      </c>
      <c r="T5" s="3">
        <v>5</v>
      </c>
      <c r="U5" s="3">
        <v>5</v>
      </c>
      <c r="V5" s="3" t="s">
        <v>49</v>
      </c>
      <c r="W5" s="3">
        <v>5</v>
      </c>
      <c r="X5" s="3">
        <v>5</v>
      </c>
      <c r="Y5" s="3">
        <v>5</v>
      </c>
      <c r="Z5" s="3" t="s">
        <v>50</v>
      </c>
      <c r="AA5" s="3">
        <v>5000000</v>
      </c>
      <c r="AB5" s="3">
        <v>5</v>
      </c>
      <c r="AC5" s="3">
        <v>5</v>
      </c>
      <c r="AD5" s="3" t="s">
        <v>42</v>
      </c>
      <c r="AE5" s="3" t="s">
        <v>37</v>
      </c>
      <c r="AF5" s="6" t="s">
        <v>121</v>
      </c>
      <c r="AI5" s="5"/>
      <c r="AJ5" s="5"/>
      <c r="AK5" s="5"/>
      <c r="AL5" s="5">
        <v>3999000</v>
      </c>
    </row>
    <row r="6" spans="1:38" ht="22.5" customHeight="1" x14ac:dyDescent="0.15">
      <c r="A6" s="2">
        <v>45989.561880034722</v>
      </c>
      <c r="B6" s="3" t="s">
        <v>44</v>
      </c>
      <c r="C6" s="3" t="s">
        <v>51</v>
      </c>
      <c r="D6" s="3">
        <v>2024</v>
      </c>
      <c r="E6" s="3">
        <v>1500000</v>
      </c>
      <c r="F6" s="3" t="s">
        <v>52</v>
      </c>
      <c r="G6" s="3">
        <v>4</v>
      </c>
      <c r="H6" s="3">
        <v>5</v>
      </c>
      <c r="I6" s="3">
        <v>3</v>
      </c>
      <c r="J6" s="3">
        <v>3</v>
      </c>
      <c r="K6" s="3">
        <v>4</v>
      </c>
      <c r="L6" s="3">
        <v>4</v>
      </c>
      <c r="M6" s="3">
        <v>5</v>
      </c>
      <c r="N6" s="3">
        <v>4</v>
      </c>
      <c r="O6" s="3">
        <v>4</v>
      </c>
      <c r="P6" s="3">
        <v>3</v>
      </c>
      <c r="Q6" s="3">
        <v>3</v>
      </c>
      <c r="R6" s="3">
        <v>5</v>
      </c>
      <c r="S6" s="3">
        <v>4</v>
      </c>
      <c r="T6" s="3">
        <v>4</v>
      </c>
      <c r="U6" s="3">
        <v>4</v>
      </c>
      <c r="V6" s="3" t="s">
        <v>53</v>
      </c>
      <c r="W6" s="3">
        <v>5</v>
      </c>
      <c r="X6" s="3">
        <v>5</v>
      </c>
      <c r="Y6" s="3">
        <v>4</v>
      </c>
      <c r="Z6" s="3" t="s">
        <v>54</v>
      </c>
      <c r="AA6" s="3">
        <v>7000000</v>
      </c>
      <c r="AB6" s="3">
        <v>4</v>
      </c>
      <c r="AC6" s="3">
        <v>3</v>
      </c>
      <c r="AD6" s="3" t="s">
        <v>55</v>
      </c>
      <c r="AE6" s="3" t="s">
        <v>37</v>
      </c>
      <c r="AF6" s="6" t="s">
        <v>122</v>
      </c>
      <c r="AI6" s="5"/>
      <c r="AJ6" s="5"/>
      <c r="AK6" s="5"/>
      <c r="AL6" s="5">
        <v>9614000</v>
      </c>
    </row>
    <row r="7" spans="1:38" ht="22.5" customHeight="1" x14ac:dyDescent="0.15">
      <c r="A7" s="2">
        <v>45989.577681585652</v>
      </c>
      <c r="B7" s="3" t="s">
        <v>44</v>
      </c>
      <c r="C7" s="3" t="s">
        <v>56</v>
      </c>
      <c r="D7" s="3">
        <v>2022</v>
      </c>
      <c r="E7" s="3">
        <v>4000000</v>
      </c>
      <c r="F7" s="3" t="s">
        <v>57</v>
      </c>
      <c r="G7" s="3">
        <v>5</v>
      </c>
      <c r="H7" s="3">
        <v>5</v>
      </c>
      <c r="I7" s="3">
        <v>3</v>
      </c>
      <c r="J7" s="3">
        <v>2</v>
      </c>
      <c r="K7" s="3">
        <v>5</v>
      </c>
      <c r="L7" s="3">
        <v>5</v>
      </c>
      <c r="M7" s="3">
        <v>5</v>
      </c>
      <c r="N7" s="3">
        <v>3</v>
      </c>
      <c r="O7" s="3">
        <v>5</v>
      </c>
      <c r="P7" s="3">
        <v>3</v>
      </c>
      <c r="Q7" s="3">
        <v>2</v>
      </c>
      <c r="R7" s="3">
        <v>3</v>
      </c>
      <c r="S7" s="3">
        <v>3</v>
      </c>
      <c r="T7" s="3">
        <v>5</v>
      </c>
      <c r="U7" s="3">
        <v>4</v>
      </c>
      <c r="V7" s="3" t="s">
        <v>34</v>
      </c>
      <c r="W7" s="3">
        <v>3</v>
      </c>
      <c r="X7" s="3">
        <v>5</v>
      </c>
      <c r="Y7" s="3">
        <v>5</v>
      </c>
      <c r="Z7" s="3" t="s">
        <v>50</v>
      </c>
      <c r="AA7" s="3">
        <v>8000000</v>
      </c>
      <c r="AB7" s="3">
        <v>5</v>
      </c>
      <c r="AC7" s="3">
        <v>3</v>
      </c>
      <c r="AD7" s="3" t="s">
        <v>55</v>
      </c>
      <c r="AE7" s="3" t="s">
        <v>37</v>
      </c>
      <c r="AF7" s="6" t="s">
        <v>123</v>
      </c>
      <c r="AI7" s="5"/>
      <c r="AJ7" s="5"/>
      <c r="AK7" s="5"/>
      <c r="AL7" s="5">
        <v>6825000</v>
      </c>
    </row>
    <row r="8" spans="1:38" ht="22.5" customHeight="1" x14ac:dyDescent="0.15">
      <c r="A8" s="2">
        <v>45989.591500555558</v>
      </c>
      <c r="B8" s="3" t="s">
        <v>44</v>
      </c>
      <c r="C8" s="3" t="s">
        <v>58</v>
      </c>
      <c r="D8" s="3">
        <v>2020</v>
      </c>
      <c r="E8" s="3">
        <v>2500000</v>
      </c>
      <c r="F8" s="3" t="s">
        <v>59</v>
      </c>
      <c r="G8" s="3">
        <v>3</v>
      </c>
      <c r="H8" s="3">
        <v>3</v>
      </c>
      <c r="I8" s="3">
        <v>3</v>
      </c>
      <c r="J8" s="3">
        <v>1</v>
      </c>
      <c r="K8" s="3">
        <v>2</v>
      </c>
      <c r="L8" s="3">
        <v>1</v>
      </c>
      <c r="M8" s="3">
        <v>3</v>
      </c>
      <c r="N8" s="3">
        <v>2</v>
      </c>
      <c r="O8" s="3">
        <v>1</v>
      </c>
      <c r="P8" s="3">
        <v>5</v>
      </c>
      <c r="Q8" s="3">
        <v>1</v>
      </c>
      <c r="R8" s="3">
        <v>2</v>
      </c>
      <c r="S8" s="3">
        <v>3</v>
      </c>
      <c r="T8" s="3">
        <v>5</v>
      </c>
      <c r="U8" s="3">
        <v>4</v>
      </c>
      <c r="V8" s="3" t="s">
        <v>34</v>
      </c>
      <c r="W8" s="3">
        <v>4</v>
      </c>
      <c r="X8" s="3">
        <v>4</v>
      </c>
      <c r="Y8" s="3">
        <v>4</v>
      </c>
      <c r="Z8" s="3" t="s">
        <v>60</v>
      </c>
      <c r="AA8" s="3">
        <v>3500000</v>
      </c>
      <c r="AB8" s="3">
        <v>4</v>
      </c>
      <c r="AC8" s="3">
        <v>3</v>
      </c>
      <c r="AD8" s="3" t="s">
        <v>36</v>
      </c>
      <c r="AE8" s="3" t="s">
        <v>61</v>
      </c>
      <c r="AF8" s="6" t="s">
        <v>124</v>
      </c>
      <c r="AI8" s="5"/>
      <c r="AJ8" s="5"/>
      <c r="AK8" s="5"/>
      <c r="AL8" s="5">
        <v>4590000</v>
      </c>
    </row>
    <row r="9" spans="1:38" ht="22.5" customHeight="1" x14ac:dyDescent="0.15">
      <c r="A9" s="2">
        <v>45989.597317465275</v>
      </c>
      <c r="B9" s="3" t="s">
        <v>31</v>
      </c>
      <c r="C9" s="3" t="s">
        <v>62</v>
      </c>
      <c r="D9" s="3">
        <v>2023</v>
      </c>
      <c r="E9" s="3">
        <v>1600000</v>
      </c>
      <c r="F9" s="3" t="s">
        <v>57</v>
      </c>
      <c r="G9" s="3">
        <v>4</v>
      </c>
      <c r="H9" s="3">
        <v>3</v>
      </c>
      <c r="I9" s="3">
        <v>3</v>
      </c>
      <c r="J9" s="3">
        <v>3</v>
      </c>
      <c r="K9" s="3">
        <v>3</v>
      </c>
      <c r="L9" s="3">
        <v>3</v>
      </c>
      <c r="M9" s="3">
        <v>4</v>
      </c>
      <c r="N9" s="3">
        <v>3</v>
      </c>
      <c r="O9" s="3">
        <v>3</v>
      </c>
      <c r="P9" s="3">
        <v>4</v>
      </c>
      <c r="Q9" s="3">
        <v>1</v>
      </c>
      <c r="R9" s="3">
        <v>1</v>
      </c>
      <c r="S9" s="3">
        <v>3</v>
      </c>
      <c r="T9" s="3">
        <v>5</v>
      </c>
      <c r="U9" s="3">
        <v>3</v>
      </c>
      <c r="V9" s="3" t="s">
        <v>34</v>
      </c>
      <c r="W9" s="3">
        <v>4</v>
      </c>
      <c r="X9" s="3">
        <v>5</v>
      </c>
      <c r="Y9" s="3">
        <v>5</v>
      </c>
      <c r="Z9" s="3" t="s">
        <v>63</v>
      </c>
      <c r="AA9" s="3">
        <v>5000000</v>
      </c>
      <c r="AB9" s="3">
        <v>5</v>
      </c>
      <c r="AC9" s="3">
        <v>3</v>
      </c>
      <c r="AD9" s="3" t="s">
        <v>55</v>
      </c>
      <c r="AE9" s="3" t="s">
        <v>64</v>
      </c>
      <c r="AF9" s="6" t="s">
        <v>137</v>
      </c>
      <c r="AI9" s="5"/>
      <c r="AJ9" s="5"/>
      <c r="AK9" s="5"/>
      <c r="AL9" s="5">
        <v>6195000</v>
      </c>
    </row>
    <row r="10" spans="1:38" ht="22.5" customHeight="1" x14ac:dyDescent="0.15">
      <c r="A10" s="2">
        <v>45989.599150486116</v>
      </c>
      <c r="B10" s="3" t="s">
        <v>44</v>
      </c>
      <c r="C10" s="3" t="s">
        <v>65</v>
      </c>
      <c r="D10" s="3">
        <v>2023</v>
      </c>
      <c r="E10" s="3">
        <v>2200000</v>
      </c>
      <c r="F10" s="3" t="s">
        <v>57</v>
      </c>
      <c r="G10" s="3">
        <v>5</v>
      </c>
      <c r="H10" s="3">
        <v>3</v>
      </c>
      <c r="I10" s="3">
        <v>4</v>
      </c>
      <c r="J10" s="3">
        <v>5</v>
      </c>
      <c r="K10" s="3">
        <v>5</v>
      </c>
      <c r="L10" s="3">
        <v>4</v>
      </c>
      <c r="M10" s="3">
        <v>4</v>
      </c>
      <c r="N10" s="3">
        <v>4</v>
      </c>
      <c r="O10" s="3">
        <v>4</v>
      </c>
      <c r="P10" s="3">
        <v>4</v>
      </c>
      <c r="Q10" s="3">
        <v>4</v>
      </c>
      <c r="R10" s="3">
        <v>4</v>
      </c>
      <c r="S10" s="3">
        <v>5</v>
      </c>
      <c r="T10" s="3">
        <v>4</v>
      </c>
      <c r="U10" s="3">
        <v>4</v>
      </c>
      <c r="V10" s="3" t="s">
        <v>66</v>
      </c>
      <c r="W10" s="3">
        <v>4</v>
      </c>
      <c r="X10" s="3">
        <v>4</v>
      </c>
      <c r="Y10" s="3">
        <v>5</v>
      </c>
      <c r="Z10" s="3" t="s">
        <v>50</v>
      </c>
      <c r="AA10" s="3">
        <v>7500000</v>
      </c>
      <c r="AB10" s="3">
        <v>4</v>
      </c>
      <c r="AC10" s="3">
        <v>4</v>
      </c>
      <c r="AD10" s="3" t="s">
        <v>67</v>
      </c>
      <c r="AE10" s="3" t="s">
        <v>37</v>
      </c>
      <c r="AF10" s="6" t="s">
        <v>125</v>
      </c>
      <c r="AI10" s="5"/>
      <c r="AJ10" s="5"/>
      <c r="AK10" s="5"/>
      <c r="AL10" s="5">
        <v>9360000</v>
      </c>
    </row>
    <row r="11" spans="1:38" ht="22.5" customHeight="1" x14ac:dyDescent="0.15">
      <c r="A11" s="2">
        <v>45989.607911597224</v>
      </c>
      <c r="B11" s="3" t="s">
        <v>44</v>
      </c>
      <c r="C11" s="3" t="s">
        <v>68</v>
      </c>
      <c r="D11" s="3">
        <v>2016</v>
      </c>
      <c r="E11" s="3">
        <v>550000</v>
      </c>
      <c r="F11" s="3" t="s">
        <v>39</v>
      </c>
      <c r="G11" s="3">
        <v>5</v>
      </c>
      <c r="H11" s="3">
        <v>5</v>
      </c>
      <c r="I11" s="3">
        <v>4</v>
      </c>
      <c r="J11" s="3">
        <v>3</v>
      </c>
      <c r="K11" s="3">
        <v>4</v>
      </c>
      <c r="L11" s="3">
        <v>3</v>
      </c>
      <c r="M11" s="3">
        <v>4</v>
      </c>
      <c r="N11" s="3">
        <v>4</v>
      </c>
      <c r="O11" s="3">
        <v>2</v>
      </c>
      <c r="P11" s="3">
        <v>5</v>
      </c>
      <c r="Q11" s="3">
        <v>3</v>
      </c>
      <c r="R11" s="3">
        <v>3</v>
      </c>
      <c r="S11" s="3">
        <v>5</v>
      </c>
      <c r="T11" s="3">
        <v>5</v>
      </c>
      <c r="U11" s="3">
        <v>5</v>
      </c>
      <c r="V11" s="3" t="s">
        <v>69</v>
      </c>
      <c r="W11" s="3">
        <v>3</v>
      </c>
      <c r="X11" s="3">
        <v>4</v>
      </c>
      <c r="Y11" s="3">
        <v>3</v>
      </c>
      <c r="Z11" s="3" t="s">
        <v>70</v>
      </c>
      <c r="AA11" s="3">
        <v>1200000</v>
      </c>
      <c r="AB11" s="3">
        <v>4</v>
      </c>
      <c r="AC11" s="3">
        <v>4</v>
      </c>
      <c r="AD11" s="3" t="s">
        <v>42</v>
      </c>
      <c r="AE11" s="3" t="s">
        <v>37</v>
      </c>
      <c r="AF11" s="6" t="s">
        <v>126</v>
      </c>
      <c r="AI11" s="5"/>
      <c r="AJ11" s="5"/>
      <c r="AK11" s="5"/>
      <c r="AL11" s="5">
        <v>3364000</v>
      </c>
    </row>
    <row r="12" spans="1:38" ht="22.5" customHeight="1" x14ac:dyDescent="0.15">
      <c r="A12" s="2">
        <v>45989.60843547454</v>
      </c>
      <c r="B12" s="3" t="s">
        <v>44</v>
      </c>
      <c r="C12" s="3" t="s">
        <v>71</v>
      </c>
      <c r="D12" s="3">
        <v>2023</v>
      </c>
      <c r="E12" s="3">
        <v>2500000</v>
      </c>
      <c r="F12" s="3" t="s">
        <v>33</v>
      </c>
      <c r="G12" s="3">
        <v>5</v>
      </c>
      <c r="H12" s="3">
        <v>5</v>
      </c>
      <c r="I12" s="3">
        <v>3</v>
      </c>
      <c r="J12" s="3">
        <v>2</v>
      </c>
      <c r="K12" s="3">
        <v>5</v>
      </c>
      <c r="L12" s="3">
        <v>4</v>
      </c>
      <c r="M12" s="3">
        <v>5</v>
      </c>
      <c r="N12" s="3">
        <v>5</v>
      </c>
      <c r="O12" s="3">
        <v>3</v>
      </c>
      <c r="P12" s="3">
        <v>3</v>
      </c>
      <c r="Q12" s="3">
        <v>4</v>
      </c>
      <c r="R12" s="3">
        <v>4</v>
      </c>
      <c r="S12" s="3">
        <v>4</v>
      </c>
      <c r="T12" s="3">
        <v>5</v>
      </c>
      <c r="U12" s="3">
        <v>5</v>
      </c>
      <c r="V12" s="3" t="s">
        <v>72</v>
      </c>
      <c r="W12" s="3">
        <v>5</v>
      </c>
      <c r="X12" s="3">
        <v>5</v>
      </c>
      <c r="Y12" s="3">
        <v>5</v>
      </c>
      <c r="Z12" s="3" t="s">
        <v>73</v>
      </c>
      <c r="AA12" s="3">
        <v>2200000</v>
      </c>
      <c r="AB12" s="3">
        <v>5</v>
      </c>
      <c r="AC12" s="3">
        <v>5</v>
      </c>
      <c r="AD12" s="3" t="s">
        <v>42</v>
      </c>
      <c r="AE12" s="3" t="s">
        <v>37</v>
      </c>
      <c r="AF12" s="6" t="s">
        <v>127</v>
      </c>
      <c r="AI12" s="5"/>
      <c r="AJ12" s="5"/>
      <c r="AK12" s="5"/>
      <c r="AL12" s="5">
        <v>825000</v>
      </c>
    </row>
    <row r="13" spans="1:38" ht="22.5" customHeight="1" x14ac:dyDescent="0.15">
      <c r="A13" s="2">
        <v>45989.624126377312</v>
      </c>
      <c r="B13" s="3" t="s">
        <v>31</v>
      </c>
      <c r="C13" s="3" t="s">
        <v>74</v>
      </c>
      <c r="D13" s="3">
        <v>2018</v>
      </c>
      <c r="E13" s="3">
        <v>650000</v>
      </c>
      <c r="F13" s="3" t="s">
        <v>57</v>
      </c>
      <c r="G13" s="3">
        <v>5</v>
      </c>
      <c r="H13" s="3">
        <v>5</v>
      </c>
      <c r="I13" s="3">
        <v>4</v>
      </c>
      <c r="J13" s="3">
        <v>4</v>
      </c>
      <c r="K13" s="3">
        <v>5</v>
      </c>
      <c r="L13" s="3">
        <v>4</v>
      </c>
      <c r="M13" s="3">
        <v>5</v>
      </c>
      <c r="N13" s="3">
        <v>5</v>
      </c>
      <c r="O13" s="3">
        <v>4</v>
      </c>
      <c r="P13" s="3">
        <v>4</v>
      </c>
      <c r="Q13" s="3">
        <v>3</v>
      </c>
      <c r="R13" s="3">
        <v>4</v>
      </c>
      <c r="S13" s="3">
        <v>3</v>
      </c>
      <c r="T13" s="3">
        <v>5</v>
      </c>
      <c r="U13" s="3">
        <v>3</v>
      </c>
      <c r="V13" s="3" t="s">
        <v>66</v>
      </c>
      <c r="W13" s="3">
        <v>1</v>
      </c>
      <c r="X13" s="3">
        <v>5</v>
      </c>
      <c r="Y13" s="3">
        <v>5</v>
      </c>
      <c r="Z13" s="3" t="s">
        <v>41</v>
      </c>
      <c r="AA13" s="4">
        <v>6500000</v>
      </c>
      <c r="AB13" s="3">
        <v>5</v>
      </c>
      <c r="AC13" s="3">
        <v>5</v>
      </c>
      <c r="AD13" s="3" t="s">
        <v>42</v>
      </c>
      <c r="AE13" s="3" t="s">
        <v>64</v>
      </c>
      <c r="AF13" s="6" t="s">
        <v>128</v>
      </c>
      <c r="AI13" s="5"/>
      <c r="AJ13" s="5"/>
      <c r="AK13" s="5"/>
      <c r="AL13" s="5">
        <v>7335000</v>
      </c>
    </row>
    <row r="14" spans="1:38" ht="22.5" customHeight="1" x14ac:dyDescent="0.15">
      <c r="A14" s="2">
        <v>45989.645411493053</v>
      </c>
      <c r="B14" s="3" t="s">
        <v>44</v>
      </c>
      <c r="C14" s="3" t="s">
        <v>75</v>
      </c>
      <c r="D14" s="3">
        <v>2017</v>
      </c>
      <c r="E14" s="3">
        <v>700000</v>
      </c>
      <c r="F14" s="3" t="s">
        <v>46</v>
      </c>
      <c r="G14" s="3">
        <v>5</v>
      </c>
      <c r="H14" s="3">
        <v>4</v>
      </c>
      <c r="I14" s="3">
        <v>5</v>
      </c>
      <c r="J14" s="3">
        <v>3</v>
      </c>
      <c r="K14" s="3">
        <v>5</v>
      </c>
      <c r="L14" s="3">
        <v>3</v>
      </c>
      <c r="M14" s="3">
        <v>4</v>
      </c>
      <c r="N14" s="3">
        <v>3</v>
      </c>
      <c r="O14" s="3">
        <v>3</v>
      </c>
      <c r="P14" s="3">
        <v>4</v>
      </c>
      <c r="Q14" s="3">
        <v>4</v>
      </c>
      <c r="R14" s="3">
        <v>5</v>
      </c>
      <c r="S14" s="3">
        <v>5</v>
      </c>
      <c r="T14" s="3">
        <v>5</v>
      </c>
      <c r="U14" s="3">
        <v>5</v>
      </c>
      <c r="V14" s="3" t="s">
        <v>69</v>
      </c>
      <c r="W14" s="3">
        <v>3</v>
      </c>
      <c r="X14" s="3">
        <v>3</v>
      </c>
      <c r="Y14" s="3">
        <v>3</v>
      </c>
      <c r="Z14" s="3" t="s">
        <v>35</v>
      </c>
      <c r="AA14" s="3">
        <v>1500000</v>
      </c>
      <c r="AB14" s="3">
        <v>3</v>
      </c>
      <c r="AC14" s="3">
        <v>3</v>
      </c>
      <c r="AD14" s="3" t="s">
        <v>42</v>
      </c>
      <c r="AE14" s="3" t="s">
        <v>64</v>
      </c>
      <c r="AF14" s="6" t="s">
        <v>126</v>
      </c>
      <c r="AI14" s="5"/>
      <c r="AJ14" s="5"/>
      <c r="AK14" s="5"/>
      <c r="AL14" s="5">
        <v>3364000</v>
      </c>
    </row>
    <row r="15" spans="1:38" ht="22.5" customHeight="1" x14ac:dyDescent="0.15">
      <c r="A15" s="2">
        <v>45989.650845335651</v>
      </c>
      <c r="B15" s="3" t="s">
        <v>44</v>
      </c>
      <c r="C15" s="3" t="s">
        <v>76</v>
      </c>
      <c r="D15" s="3">
        <v>2021</v>
      </c>
      <c r="E15" s="3">
        <v>850000</v>
      </c>
      <c r="F15" s="3" t="s">
        <v>46</v>
      </c>
      <c r="G15" s="3">
        <v>5</v>
      </c>
      <c r="H15" s="3">
        <v>5</v>
      </c>
      <c r="I15" s="3">
        <v>3</v>
      </c>
      <c r="J15" s="3">
        <v>3</v>
      </c>
      <c r="K15" s="3">
        <v>4</v>
      </c>
      <c r="L15" s="3">
        <v>3</v>
      </c>
      <c r="M15" s="3">
        <v>5</v>
      </c>
      <c r="N15" s="3">
        <v>4</v>
      </c>
      <c r="O15" s="3">
        <v>3</v>
      </c>
      <c r="P15" s="3">
        <v>4</v>
      </c>
      <c r="Q15" s="3">
        <v>3</v>
      </c>
      <c r="R15" s="3">
        <v>3</v>
      </c>
      <c r="S15" s="3">
        <v>3</v>
      </c>
      <c r="T15" s="3">
        <v>5</v>
      </c>
      <c r="U15" s="3">
        <v>4</v>
      </c>
      <c r="V15" s="3" t="s">
        <v>77</v>
      </c>
      <c r="W15" s="3">
        <v>1</v>
      </c>
      <c r="X15" s="3">
        <v>5</v>
      </c>
      <c r="Y15" s="3">
        <v>1</v>
      </c>
      <c r="Z15" s="3" t="s">
        <v>78</v>
      </c>
      <c r="AA15" s="4">
        <v>9000000</v>
      </c>
      <c r="AB15" s="3">
        <v>4</v>
      </c>
      <c r="AC15" s="3">
        <v>1</v>
      </c>
      <c r="AD15" s="3" t="s">
        <v>55</v>
      </c>
      <c r="AE15" s="3" t="s">
        <v>64</v>
      </c>
      <c r="AF15" s="6" t="s">
        <v>129</v>
      </c>
      <c r="AI15" s="5"/>
      <c r="AJ15" s="5"/>
      <c r="AK15" s="5"/>
      <c r="AL15" s="5">
        <v>8614000</v>
      </c>
    </row>
    <row r="16" spans="1:38" ht="22.5" customHeight="1" x14ac:dyDescent="0.15">
      <c r="A16" s="2">
        <v>45989.660239201388</v>
      </c>
      <c r="B16" s="3" t="s">
        <v>31</v>
      </c>
      <c r="C16" s="3" t="s">
        <v>79</v>
      </c>
      <c r="D16" s="3">
        <v>2020</v>
      </c>
      <c r="E16" s="3">
        <v>1500000</v>
      </c>
      <c r="F16" s="3" t="s">
        <v>39</v>
      </c>
      <c r="G16" s="3">
        <v>5</v>
      </c>
      <c r="H16" s="3">
        <v>5</v>
      </c>
      <c r="I16" s="3">
        <v>4</v>
      </c>
      <c r="J16" s="3">
        <v>4</v>
      </c>
      <c r="K16" s="3">
        <v>5</v>
      </c>
      <c r="L16" s="3">
        <v>5</v>
      </c>
      <c r="M16" s="3">
        <v>5</v>
      </c>
      <c r="N16" s="3">
        <v>5</v>
      </c>
      <c r="O16" s="3">
        <v>5</v>
      </c>
      <c r="P16" s="3">
        <v>5</v>
      </c>
      <c r="Q16" s="3">
        <v>5</v>
      </c>
      <c r="R16" s="3">
        <v>5</v>
      </c>
      <c r="S16" s="3">
        <v>5</v>
      </c>
      <c r="T16" s="3">
        <v>5</v>
      </c>
      <c r="U16" s="3">
        <v>5</v>
      </c>
      <c r="V16" s="3" t="s">
        <v>40</v>
      </c>
      <c r="W16" s="3">
        <v>4</v>
      </c>
      <c r="X16" s="3">
        <v>5</v>
      </c>
      <c r="Y16" s="3">
        <v>4</v>
      </c>
      <c r="Z16" s="3" t="s">
        <v>80</v>
      </c>
      <c r="AA16" s="3">
        <v>2500000</v>
      </c>
      <c r="AB16" s="3">
        <v>4</v>
      </c>
      <c r="AC16" s="3">
        <v>4</v>
      </c>
      <c r="AD16" s="3" t="s">
        <v>81</v>
      </c>
      <c r="AE16" s="3" t="s">
        <v>64</v>
      </c>
      <c r="AF16" s="6" t="s">
        <v>130</v>
      </c>
      <c r="AI16" s="5"/>
      <c r="AJ16" s="5"/>
      <c r="AK16" s="5"/>
      <c r="AL16" s="5">
        <v>9800000</v>
      </c>
    </row>
    <row r="17" spans="1:38" ht="22.5" customHeight="1" x14ac:dyDescent="0.15">
      <c r="A17" s="2">
        <v>45989.695615092598</v>
      </c>
      <c r="B17" s="3" t="s">
        <v>31</v>
      </c>
      <c r="C17" s="3" t="s">
        <v>82</v>
      </c>
      <c r="D17" s="3" t="s">
        <v>83</v>
      </c>
      <c r="E17" s="3">
        <v>2000000</v>
      </c>
      <c r="F17" s="3" t="s">
        <v>46</v>
      </c>
      <c r="G17" s="3">
        <v>4</v>
      </c>
      <c r="H17" s="3">
        <v>4</v>
      </c>
      <c r="I17" s="3">
        <v>4</v>
      </c>
      <c r="J17" s="3">
        <v>4</v>
      </c>
      <c r="K17" s="3">
        <v>4</v>
      </c>
      <c r="L17" s="3">
        <v>4</v>
      </c>
      <c r="M17" s="3">
        <v>4</v>
      </c>
      <c r="N17" s="3">
        <v>4</v>
      </c>
      <c r="O17" s="3">
        <v>4</v>
      </c>
      <c r="P17" s="3">
        <v>4</v>
      </c>
      <c r="Q17" s="3">
        <v>4</v>
      </c>
      <c r="R17" s="3">
        <v>4</v>
      </c>
      <c r="S17" s="3">
        <v>4</v>
      </c>
      <c r="T17" s="3">
        <v>4</v>
      </c>
      <c r="U17" s="3">
        <v>4</v>
      </c>
      <c r="V17" s="3" t="s">
        <v>84</v>
      </c>
      <c r="W17" s="3">
        <v>4</v>
      </c>
      <c r="X17" s="3">
        <v>5</v>
      </c>
      <c r="Y17" s="3">
        <v>5</v>
      </c>
      <c r="Z17" s="3" t="s">
        <v>85</v>
      </c>
      <c r="AA17" s="3">
        <v>2500000</v>
      </c>
      <c r="AB17" s="3">
        <v>5</v>
      </c>
      <c r="AC17" s="3">
        <v>5</v>
      </c>
      <c r="AD17" s="3" t="s">
        <v>42</v>
      </c>
      <c r="AE17" s="3" t="s">
        <v>64</v>
      </c>
      <c r="AF17" s="6" t="s">
        <v>131</v>
      </c>
      <c r="AI17" s="5"/>
      <c r="AJ17" s="5"/>
      <c r="AK17" s="5"/>
      <c r="AL17" s="5">
        <v>2730000</v>
      </c>
    </row>
    <row r="18" spans="1:38" ht="22.5" customHeight="1" x14ac:dyDescent="0.15">
      <c r="A18" s="2">
        <v>45989.704190069446</v>
      </c>
      <c r="B18" s="3" t="s">
        <v>44</v>
      </c>
      <c r="C18" s="3" t="s">
        <v>86</v>
      </c>
      <c r="D18" s="3">
        <v>2010</v>
      </c>
      <c r="E18" s="3">
        <v>500000</v>
      </c>
      <c r="F18" s="3" t="s">
        <v>46</v>
      </c>
      <c r="G18" s="3">
        <v>5</v>
      </c>
      <c r="H18" s="3">
        <v>4</v>
      </c>
      <c r="I18" s="3">
        <v>3</v>
      </c>
      <c r="J18" s="3">
        <v>3</v>
      </c>
      <c r="K18" s="3">
        <v>5</v>
      </c>
      <c r="L18" s="3">
        <v>5</v>
      </c>
      <c r="M18" s="3">
        <v>5</v>
      </c>
      <c r="N18" s="3">
        <v>3</v>
      </c>
      <c r="O18" s="3">
        <v>2</v>
      </c>
      <c r="P18" s="3">
        <v>3</v>
      </c>
      <c r="Q18" s="3">
        <v>3</v>
      </c>
      <c r="R18" s="3">
        <v>5</v>
      </c>
      <c r="S18" s="3">
        <v>5</v>
      </c>
      <c r="T18" s="3">
        <v>3</v>
      </c>
      <c r="U18" s="3">
        <v>3</v>
      </c>
      <c r="V18" s="3" t="s">
        <v>87</v>
      </c>
      <c r="W18" s="3">
        <v>5</v>
      </c>
      <c r="X18" s="3">
        <v>5</v>
      </c>
      <c r="Y18" s="3">
        <v>5</v>
      </c>
      <c r="Z18" s="3" t="s">
        <v>50</v>
      </c>
      <c r="AA18" s="3">
        <v>1500000</v>
      </c>
      <c r="AB18" s="3">
        <v>5</v>
      </c>
      <c r="AC18" s="3">
        <v>5</v>
      </c>
      <c r="AD18" s="3" t="s">
        <v>81</v>
      </c>
      <c r="AE18" s="3" t="s">
        <v>37</v>
      </c>
      <c r="AF18" s="6" t="s">
        <v>132</v>
      </c>
      <c r="AI18" s="5"/>
      <c r="AJ18" s="5"/>
      <c r="AK18" s="5"/>
      <c r="AL18" s="5">
        <v>1466000</v>
      </c>
    </row>
    <row r="19" spans="1:38" ht="22.5" customHeight="1" x14ac:dyDescent="0.15">
      <c r="A19" s="2">
        <v>45989.745331099533</v>
      </c>
      <c r="B19" s="3" t="s">
        <v>44</v>
      </c>
      <c r="C19" s="3" t="s">
        <v>88</v>
      </c>
      <c r="D19" s="3" t="s">
        <v>89</v>
      </c>
      <c r="E19" s="3">
        <v>3400000</v>
      </c>
      <c r="F19" s="3" t="s">
        <v>33</v>
      </c>
      <c r="G19" s="3">
        <v>5</v>
      </c>
      <c r="H19" s="3">
        <v>5</v>
      </c>
      <c r="I19" s="3">
        <v>4</v>
      </c>
      <c r="J19" s="3">
        <v>4</v>
      </c>
      <c r="K19" s="3">
        <v>5</v>
      </c>
      <c r="L19" s="3">
        <v>3</v>
      </c>
      <c r="M19" s="3">
        <v>5</v>
      </c>
      <c r="N19" s="3">
        <v>4</v>
      </c>
      <c r="O19" s="3">
        <v>2</v>
      </c>
      <c r="P19" s="3">
        <v>3</v>
      </c>
      <c r="Q19" s="3">
        <v>3</v>
      </c>
      <c r="R19" s="3">
        <v>3</v>
      </c>
      <c r="S19" s="3">
        <v>3</v>
      </c>
      <c r="T19" s="3">
        <v>4</v>
      </c>
      <c r="U19" s="3">
        <v>4</v>
      </c>
      <c r="V19" s="3" t="s">
        <v>77</v>
      </c>
      <c r="W19" s="3">
        <v>5</v>
      </c>
      <c r="X19" s="3">
        <v>5</v>
      </c>
      <c r="Y19" s="3">
        <v>5</v>
      </c>
      <c r="Z19" s="3" t="s">
        <v>90</v>
      </c>
      <c r="AA19" s="3">
        <v>7000000</v>
      </c>
      <c r="AB19" s="3">
        <v>5</v>
      </c>
      <c r="AC19" s="3">
        <v>4</v>
      </c>
      <c r="AD19" s="3" t="s">
        <v>55</v>
      </c>
      <c r="AE19" s="3" t="s">
        <v>64</v>
      </c>
      <c r="AF19" s="6" t="s">
        <v>133</v>
      </c>
      <c r="AI19" s="5"/>
      <c r="AJ19" s="5"/>
      <c r="AK19" s="5"/>
      <c r="AL19" s="5">
        <v>6374000</v>
      </c>
    </row>
    <row r="20" spans="1:38" ht="22.5" customHeight="1" x14ac:dyDescent="0.15">
      <c r="A20" s="2">
        <v>45990.424314340278</v>
      </c>
      <c r="B20" s="3" t="s">
        <v>44</v>
      </c>
      <c r="C20" s="3" t="s">
        <v>91</v>
      </c>
      <c r="D20" s="3">
        <v>2021</v>
      </c>
      <c r="E20" s="3">
        <v>5600000</v>
      </c>
      <c r="F20" s="3" t="s">
        <v>33</v>
      </c>
      <c r="G20" s="3">
        <v>5</v>
      </c>
      <c r="H20" s="3">
        <v>5</v>
      </c>
      <c r="I20" s="3">
        <v>3</v>
      </c>
      <c r="J20" s="3">
        <v>3</v>
      </c>
      <c r="K20" s="3">
        <v>5</v>
      </c>
      <c r="L20" s="3">
        <v>4</v>
      </c>
      <c r="M20" s="3">
        <v>5</v>
      </c>
      <c r="N20" s="3">
        <v>4</v>
      </c>
      <c r="O20" s="3">
        <v>3</v>
      </c>
      <c r="P20" s="3">
        <v>3</v>
      </c>
      <c r="Q20" s="3">
        <v>2</v>
      </c>
      <c r="R20" s="3">
        <v>3</v>
      </c>
      <c r="S20" s="3">
        <v>3</v>
      </c>
      <c r="T20" s="3">
        <v>5</v>
      </c>
      <c r="U20" s="3">
        <v>4</v>
      </c>
      <c r="V20" s="3" t="s">
        <v>34</v>
      </c>
      <c r="W20" s="3">
        <v>3</v>
      </c>
      <c r="X20" s="3">
        <v>3</v>
      </c>
      <c r="Y20" s="3">
        <v>4</v>
      </c>
      <c r="Z20" s="3" t="s">
        <v>92</v>
      </c>
      <c r="AA20" s="3">
        <v>6000000</v>
      </c>
      <c r="AB20" s="3">
        <v>4</v>
      </c>
      <c r="AC20" s="3">
        <v>3</v>
      </c>
      <c r="AD20" s="3" t="s">
        <v>42</v>
      </c>
      <c r="AE20" s="3" t="s">
        <v>61</v>
      </c>
      <c r="AF20" s="6" t="s">
        <v>134</v>
      </c>
      <c r="AI20" s="5"/>
      <c r="AJ20" s="5"/>
      <c r="AK20" s="5"/>
      <c r="AL20" s="5">
        <v>5495000</v>
      </c>
    </row>
    <row r="21" spans="1:38" ht="22.5" customHeight="1" x14ac:dyDescent="0.15">
      <c r="A21" s="2">
        <v>45990.435131886574</v>
      </c>
      <c r="B21" s="3" t="s">
        <v>31</v>
      </c>
      <c r="C21" s="3" t="s">
        <v>93</v>
      </c>
      <c r="D21" s="3">
        <v>2024</v>
      </c>
      <c r="E21" s="3">
        <v>5000000</v>
      </c>
      <c r="F21" s="3" t="s">
        <v>33</v>
      </c>
      <c r="G21" s="3">
        <v>3</v>
      </c>
      <c r="H21" s="3">
        <v>3</v>
      </c>
      <c r="I21" s="3">
        <v>2</v>
      </c>
      <c r="J21" s="3">
        <v>2</v>
      </c>
      <c r="K21" s="3">
        <v>2</v>
      </c>
      <c r="L21" s="3">
        <v>2</v>
      </c>
      <c r="M21" s="3">
        <v>3</v>
      </c>
      <c r="N21" s="3">
        <v>2</v>
      </c>
      <c r="O21" s="3">
        <v>2</v>
      </c>
      <c r="P21" s="3">
        <v>2</v>
      </c>
      <c r="Q21" s="3">
        <v>2</v>
      </c>
      <c r="R21" s="3">
        <v>2</v>
      </c>
      <c r="S21" s="3">
        <v>2</v>
      </c>
      <c r="T21" s="3">
        <v>2</v>
      </c>
      <c r="U21" s="3">
        <v>2</v>
      </c>
      <c r="V21" s="3" t="s">
        <v>53</v>
      </c>
      <c r="W21" s="3">
        <v>5</v>
      </c>
      <c r="X21" s="3">
        <v>5</v>
      </c>
      <c r="Y21" s="3">
        <v>5</v>
      </c>
      <c r="Z21" s="3" t="s">
        <v>94</v>
      </c>
      <c r="AA21" s="3">
        <v>6000000</v>
      </c>
      <c r="AB21" s="3">
        <v>5</v>
      </c>
      <c r="AC21" s="3">
        <v>5</v>
      </c>
      <c r="AD21" s="3" t="s">
        <v>55</v>
      </c>
      <c r="AE21" s="3" t="s">
        <v>64</v>
      </c>
      <c r="AF21" s="6" t="s">
        <v>135</v>
      </c>
      <c r="AI21" s="5"/>
      <c r="AJ21" s="5"/>
      <c r="AK21" s="5"/>
      <c r="AL21" s="5">
        <v>13200000</v>
      </c>
    </row>
    <row r="22" spans="1:38" ht="22.5" customHeight="1" x14ac:dyDescent="0.15">
      <c r="A22" s="2"/>
      <c r="B22" s="3"/>
      <c r="C22" s="3"/>
      <c r="D22" s="3"/>
      <c r="E22" s="3"/>
      <c r="F22" s="3"/>
      <c r="G22" s="7">
        <f>AVERAGE(G2:G21)</f>
        <v>4.3</v>
      </c>
      <c r="H22" s="7">
        <f t="shared" ref="H22:Y22" si="0">AVERAGE(H2:H21)</f>
        <v>4.1500000000000004</v>
      </c>
      <c r="I22" s="7">
        <f t="shared" si="0"/>
        <v>3.4</v>
      </c>
      <c r="J22" s="7">
        <f t="shared" si="0"/>
        <v>3.05</v>
      </c>
      <c r="K22" s="7">
        <f t="shared" si="0"/>
        <v>4</v>
      </c>
      <c r="L22" s="7">
        <f t="shared" si="0"/>
        <v>3.45</v>
      </c>
      <c r="M22" s="7">
        <f t="shared" si="0"/>
        <v>4.1500000000000004</v>
      </c>
      <c r="N22" s="7">
        <f t="shared" si="0"/>
        <v>3.65</v>
      </c>
      <c r="O22" s="7">
        <f t="shared" si="0"/>
        <v>3</v>
      </c>
      <c r="P22" s="7">
        <f t="shared" si="0"/>
        <v>3.7</v>
      </c>
      <c r="Q22" s="7">
        <f t="shared" si="0"/>
        <v>2.9</v>
      </c>
      <c r="R22" s="7">
        <f t="shared" si="0"/>
        <v>3.3</v>
      </c>
      <c r="S22" s="7">
        <f t="shared" si="0"/>
        <v>3.7</v>
      </c>
      <c r="T22" s="7">
        <f t="shared" si="0"/>
        <v>4.25</v>
      </c>
      <c r="U22" s="7">
        <f t="shared" si="0"/>
        <v>3.9</v>
      </c>
      <c r="V22" s="7"/>
      <c r="W22" s="7">
        <f t="shared" si="0"/>
        <v>3.7</v>
      </c>
      <c r="X22" s="7">
        <f t="shared" si="0"/>
        <v>4.4000000000000004</v>
      </c>
      <c r="Y22" s="7">
        <f t="shared" si="0"/>
        <v>4.25</v>
      </c>
      <c r="Z22" s="3"/>
      <c r="AA22" s="3"/>
      <c r="AB22" s="7">
        <f>AVERAGE(AB2:AB21)</f>
        <v>4.3499999999999996</v>
      </c>
      <c r="AC22" s="7">
        <f>AVERAGE(AC2:AC21)</f>
        <v>3.8</v>
      </c>
      <c r="AD22" s="3"/>
      <c r="AE22" s="3"/>
    </row>
    <row r="31" spans="1:38" ht="15.75" customHeight="1" x14ac:dyDescent="0.15">
      <c r="T31" s="6" t="s">
        <v>95</v>
      </c>
      <c r="U31" s="6" t="s">
        <v>96</v>
      </c>
    </row>
    <row r="32" spans="1:38" ht="15.75" customHeight="1" x14ac:dyDescent="0.15">
      <c r="T32" s="6" t="s">
        <v>34</v>
      </c>
      <c r="U32" s="6" t="s">
        <v>97</v>
      </c>
    </row>
    <row r="33" spans="20:21" ht="15.75" customHeight="1" x14ac:dyDescent="0.15">
      <c r="T33" s="6" t="s">
        <v>40</v>
      </c>
      <c r="U33" s="6" t="s">
        <v>98</v>
      </c>
    </row>
    <row r="34" spans="20:21" ht="15.75" customHeight="1" x14ac:dyDescent="0.15">
      <c r="T34" s="6" t="s">
        <v>34</v>
      </c>
      <c r="U34" s="6" t="s">
        <v>99</v>
      </c>
    </row>
    <row r="35" spans="20:21" ht="15.75" customHeight="1" x14ac:dyDescent="0.15">
      <c r="T35" s="6" t="s">
        <v>49</v>
      </c>
      <c r="U35" s="6" t="s">
        <v>100</v>
      </c>
    </row>
    <row r="36" spans="20:21" ht="15.75" customHeight="1" x14ac:dyDescent="0.15">
      <c r="T36" s="6" t="s">
        <v>53</v>
      </c>
      <c r="U36" s="6" t="s">
        <v>101</v>
      </c>
    </row>
    <row r="37" spans="20:21" ht="15.75" customHeight="1" x14ac:dyDescent="0.15">
      <c r="T37" s="6" t="s">
        <v>34</v>
      </c>
      <c r="U37" s="6" t="s">
        <v>102</v>
      </c>
    </row>
    <row r="38" spans="20:21" ht="15.75" customHeight="1" x14ac:dyDescent="0.15">
      <c r="T38" s="6" t="s">
        <v>34</v>
      </c>
      <c r="U38" s="6" t="s">
        <v>103</v>
      </c>
    </row>
    <row r="39" spans="20:21" ht="15.75" customHeight="1" x14ac:dyDescent="0.15">
      <c r="T39" s="6" t="s">
        <v>34</v>
      </c>
      <c r="U39" s="6" t="s">
        <v>104</v>
      </c>
    </row>
    <row r="40" spans="20:21" ht="15.75" customHeight="1" x14ac:dyDescent="0.15">
      <c r="T40" s="6" t="s">
        <v>66</v>
      </c>
      <c r="U40" s="6" t="s">
        <v>105</v>
      </c>
    </row>
    <row r="41" spans="20:21" ht="15.75" customHeight="1" x14ac:dyDescent="0.15">
      <c r="T41" s="6" t="s">
        <v>69</v>
      </c>
      <c r="U41" s="6" t="s">
        <v>106</v>
      </c>
    </row>
    <row r="42" spans="20:21" ht="15.75" customHeight="1" x14ac:dyDescent="0.15">
      <c r="T42" s="6" t="s">
        <v>72</v>
      </c>
      <c r="U42" s="6" t="s">
        <v>107</v>
      </c>
    </row>
    <row r="43" spans="20:21" ht="15.75" customHeight="1" x14ac:dyDescent="0.15">
      <c r="T43" s="6" t="s">
        <v>66</v>
      </c>
      <c r="U43" s="6" t="s">
        <v>108</v>
      </c>
    </row>
    <row r="44" spans="20:21" ht="15.75" customHeight="1" x14ac:dyDescent="0.15">
      <c r="T44" s="6" t="s">
        <v>69</v>
      </c>
      <c r="U44" s="6" t="s">
        <v>109</v>
      </c>
    </row>
    <row r="45" spans="20:21" ht="15.75" customHeight="1" x14ac:dyDescent="0.15">
      <c r="T45" s="6" t="s">
        <v>77</v>
      </c>
      <c r="U45" s="6" t="s">
        <v>110</v>
      </c>
    </row>
    <row r="46" spans="20:21" ht="15.75" customHeight="1" x14ac:dyDescent="0.15">
      <c r="T46" s="6" t="s">
        <v>40</v>
      </c>
      <c r="U46" s="6" t="s">
        <v>111</v>
      </c>
    </row>
    <row r="47" spans="20:21" ht="15.75" customHeight="1" x14ac:dyDescent="0.15">
      <c r="T47" s="6" t="s">
        <v>84</v>
      </c>
      <c r="U47" s="6" t="s">
        <v>112</v>
      </c>
    </row>
    <row r="48" spans="20:21" ht="15.75" customHeight="1" x14ac:dyDescent="0.15">
      <c r="T48" s="6" t="s">
        <v>87</v>
      </c>
      <c r="U48" s="6" t="s">
        <v>113</v>
      </c>
    </row>
    <row r="49" spans="20:21" ht="15.75" customHeight="1" x14ac:dyDescent="0.15">
      <c r="T49" s="6" t="s">
        <v>77</v>
      </c>
      <c r="U49" s="6" t="s">
        <v>114</v>
      </c>
    </row>
    <row r="50" spans="20:21" ht="15.75" customHeight="1" x14ac:dyDescent="0.15">
      <c r="T50" s="6" t="s">
        <v>34</v>
      </c>
      <c r="U50" s="6" t="s">
        <v>115</v>
      </c>
    </row>
    <row r="51" spans="20:21" ht="15.75" customHeight="1" x14ac:dyDescent="0.15">
      <c r="T51" s="6" t="s">
        <v>53</v>
      </c>
      <c r="U51" s="6" t="s">
        <v>116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Siddhant Sathe</cp:lastModifiedBy>
  <dcterms:modified xsi:type="dcterms:W3CDTF">2026-02-21T14:14:43Z</dcterms:modified>
</cp:coreProperties>
</file>