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idhant/Downloads/EE (econ) copy/Survey Consumer Data collected/Consumer survey data/"/>
    </mc:Choice>
  </mc:AlternateContent>
  <xr:revisionPtr revIDLastSave="0" documentId="13_ncr:1_{FEFBF8BF-E02A-F641-BA6D-EC4CC1C9599F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W12" i="1"/>
  <c r="X12" i="1"/>
  <c r="Y12" i="1"/>
  <c r="Z12" i="1"/>
  <c r="AA12" i="1"/>
  <c r="AB12" i="1"/>
  <c r="AC12" i="1"/>
</calcChain>
</file>

<file path=xl/sharedStrings.xml><?xml version="1.0" encoding="utf-8"?>
<sst xmlns="http://schemas.openxmlformats.org/spreadsheetml/2006/main" count="137" uniqueCount="90">
  <si>
    <t>Timestamp</t>
  </si>
  <si>
    <t>What's your gender?</t>
  </si>
  <si>
    <t>What car (company and model) do you currently own?</t>
  </si>
  <si>
    <t>What year did you purchase this car?</t>
  </si>
  <si>
    <t>What was the purchase price?</t>
  </si>
  <si>
    <t>What's your current family income range in rupees? (this is an anonymous survey so your name won't be recorded: the interviewers have not and will not include any personal details in their data collection ensuring all responses remain anonymous.)</t>
  </si>
  <si>
    <t>Rate these car companies based on safety. (5 is the best and 1 is the worst) [Audi]</t>
  </si>
  <si>
    <t>Rate these car companies based on safety. (5 is the best and 1 is the worst) [BMW]</t>
  </si>
  <si>
    <t>Rate these car companies based on safety. (5 is the best and 1 is the worst) [Honda]</t>
  </si>
  <si>
    <t>Rate these car companies based on safety. (5 is the best and 1 is the worst) [Hyundai]</t>
  </si>
  <si>
    <t>Rate these car companies based on safety. (5 is the best and 1 is the worst) [Jaguar Land Rover]</t>
  </si>
  <si>
    <t>Rate these car companies based on safety. (5 is the best and 1 is the worst) [Mahindra]</t>
  </si>
  <si>
    <t>Rate these car companies based on safety. (5 is the best and 1 is the worst) [Mercedes Benz]</t>
  </si>
  <si>
    <t>Rate these car companies based on safety. (5 is the best and 1 is the worst) [Mini Cooper]</t>
  </si>
  <si>
    <t>Rate these car companies based on safety. (5 is the best and 1 is the worst) [Morris Garages (MG)]</t>
  </si>
  <si>
    <t>Rate these car companies based on safety. (5 is the best and 1 is the worst) [Skoda]</t>
  </si>
  <si>
    <t>Rate these car companies based on safety. (5 is the best and 1 is the worst) [Suzuki]</t>
  </si>
  <si>
    <t>Rate these car companies based on safety. (5 is the best and 1 is the worst) [Tata]</t>
  </si>
  <si>
    <t>Rate these car companies based on safety. (5 is the best and 1 is the worst) [Toyota]</t>
  </si>
  <si>
    <t>Rate these car companies based on safety. (5 is the best and 1 is the worst) [Volvo]</t>
  </si>
  <si>
    <t>Rate these car companies based on safety. (5 is the best and 1 is the worst) [Volkswagen]</t>
  </si>
  <si>
    <t>What car (company) on the market amongst these do you think is the safest?</t>
  </si>
  <si>
    <t>How familiar are you with this car brand?</t>
  </si>
  <si>
    <t>How much do you trust this brand overall?</t>
  </si>
  <si>
    <t>How suitable do you think this model is for regular highway use?</t>
  </si>
  <si>
    <t>Which features (of the list below) do you value the most when purchasing a car?</t>
  </si>
  <si>
    <t>What price range would you consider fair for this car?</t>
  </si>
  <si>
    <t>How confident would you feel driving this model on the highway / inter-city?</t>
  </si>
  <si>
    <t>How likely are you to consider this model for your next purchase?</t>
  </si>
  <si>
    <t>Who do you think would prefer this car the most?</t>
  </si>
  <si>
    <t>What do you think are the disadvantages of this model?</t>
  </si>
  <si>
    <t>Female</t>
  </si>
  <si>
    <t xml:space="preserve">Honda Amaze </t>
  </si>
  <si>
    <t>0 - 25 Lakh</t>
  </si>
  <si>
    <t>Honda</t>
  </si>
  <si>
    <t>Reliability over time</t>
  </si>
  <si>
    <t>Urban commuters</t>
  </si>
  <si>
    <t>Resale value</t>
  </si>
  <si>
    <t>Male</t>
  </si>
  <si>
    <t>Skoda slavia</t>
  </si>
  <si>
    <t>50 Lakh - 75 Lakh</t>
  </si>
  <si>
    <t>Volkswagen</t>
  </si>
  <si>
    <t>Performance-focused drivers</t>
  </si>
  <si>
    <t>Nothing in particular</t>
  </si>
  <si>
    <t>Nexon TATA motors</t>
  </si>
  <si>
    <t>Tata</t>
  </si>
  <si>
    <t>Driving comfort, Long-distance performance, Technological sophistication, Reliability over time</t>
  </si>
  <si>
    <t>Family users</t>
  </si>
  <si>
    <t>Honda city zx</t>
  </si>
  <si>
    <t>75 Lakh - 1 Crore</t>
  </si>
  <si>
    <t>BMW</t>
  </si>
  <si>
    <t>Driving comfort, Long-distance performance, Reliability over time</t>
  </si>
  <si>
    <t>Maintenance expenses</t>
  </si>
  <si>
    <t xml:space="preserve">Honda city </t>
  </si>
  <si>
    <t>1.25 Cr+</t>
  </si>
  <si>
    <t>Mercedes Benz</t>
  </si>
  <si>
    <t>Luxury-focused drivers</t>
  </si>
  <si>
    <t>Volkswagen Vento TSI and Tata Tiago</t>
  </si>
  <si>
    <t>Volvo</t>
  </si>
  <si>
    <t>Driving comfort, Technological sophistication, Reliability over time, Total ownership cost</t>
  </si>
  <si>
    <t>Maruti XL6</t>
  </si>
  <si>
    <t>Toyota</t>
  </si>
  <si>
    <t xml:space="preserve">Kia </t>
  </si>
  <si>
    <t>Driving comfort, Long-distance performance, Technological sophistication, Reliability over time, Total ownership cost</t>
  </si>
  <si>
    <t>Toyota etios liva</t>
  </si>
  <si>
    <t>Driving comfort, Reliability over time</t>
  </si>
  <si>
    <t>Technological glitches</t>
  </si>
  <si>
    <t>Model (Safe &amp; Currently Available in India)</t>
  </si>
  <si>
    <t>Ex-Showroom India Price (Numbers Only)</t>
  </si>
  <si>
    <t>Honda City (5-star GNCAP)</t>
  </si>
  <si>
    <t>Volkswagen Tiguan</t>
  </si>
  <si>
    <t>Tata Safari (2023/24 facelift)</t>
  </si>
  <si>
    <t>BMW X1</t>
  </si>
  <si>
    <t>Mercedes GLC</t>
  </si>
  <si>
    <t>Volvo XC60</t>
  </si>
  <si>
    <t>Toyota Fortuner</t>
  </si>
  <si>
    <t>BMW 3 Series Gran Limousine</t>
  </si>
  <si>
    <t>Tata Harrier (2023/24 facelift)</t>
  </si>
  <si>
    <t>11/28/2025 19:53:45</t>
  </si>
  <si>
    <t>25 Lakh - 50 Lakh</t>
  </si>
  <si>
    <t>MG Winsor EV</t>
  </si>
  <si>
    <t>2025</t>
  </si>
  <si>
    <t>1800000</t>
  </si>
  <si>
    <t>4</t>
  </si>
  <si>
    <t>5</t>
  </si>
  <si>
    <t>3</t>
  </si>
  <si>
    <t>2</t>
  </si>
  <si>
    <t>Long-distance performance, Technological sophistication, Total ownership cost</t>
  </si>
  <si>
    <t>Volvo XC40</t>
  </si>
  <si>
    <t>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</si>
</sst>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1"/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E11" totalsRowCount="1">
  <tableColumns count="31">
    <tableColumn id="1" xr3:uid="{00000000-0010-0000-0000-000001000000}" name="Timestamp" totalsRowLabel="11/28/2025 19:53:45" dataDxfId="37" totalsRowDxfId="36"/>
    <tableColumn id="2" xr3:uid="{00000000-0010-0000-0000-000002000000}" name="What's your gender?" totalsRowLabel="Male" totalsRowDxfId="35"/>
    <tableColumn id="3" xr3:uid="{00000000-0010-0000-0000-000003000000}" name="What car (company and model) do you currently own?" totalsRowLabel="MG Winsor EV" totalsRowDxfId="34"/>
    <tableColumn id="4" xr3:uid="{00000000-0010-0000-0000-000004000000}" name="What year did you purchase this car?" totalsRowLabel="2025" dataDxfId="33" totalsRowDxfId="32"/>
    <tableColumn id="5" xr3:uid="{00000000-0010-0000-0000-000005000000}" name="What was the purchase price?" totalsRowLabel="1800000" totalsRowDxfId="31"/>
    <tableColumn id="6" xr3:uid="{00000000-0010-0000-0000-000006000000}" name="What's your current family income range in rupees? (this is an anonymous survey so your name won't be recorded: the interviewers have not and will not include any personal details in their data collection ensuring all responses remain anonymous.)" totalsRowLabel="25 Lakh - 50 Lakh" dataDxfId="30" totalsRowDxfId="29"/>
    <tableColumn id="7" xr3:uid="{00000000-0010-0000-0000-000007000000}" name="Rate these car companies based on safety. (5 is the best and 1 is the worst) [Audi]" totalsRowLabel="4" totalsRowDxfId="28"/>
    <tableColumn id="8" xr3:uid="{00000000-0010-0000-0000-000008000000}" name="Rate these car companies based on safety. (5 is the best and 1 is the worst) [BMW]" totalsRowLabel="5" totalsRowDxfId="27"/>
    <tableColumn id="9" xr3:uid="{00000000-0010-0000-0000-000009000000}" name="Rate these car companies based on safety. (5 is the best and 1 is the worst) [Honda]" totalsRowLabel="3" totalsRowDxfId="26"/>
    <tableColumn id="10" xr3:uid="{00000000-0010-0000-0000-00000A000000}" name="Rate these car companies based on safety. (5 is the best and 1 is the worst) [Hyundai]" totalsRowLabel="2" totalsRowDxfId="25"/>
    <tableColumn id="11" xr3:uid="{00000000-0010-0000-0000-00000B000000}" name="Rate these car companies based on safety. (5 is the best and 1 is the worst) [Jaguar Land Rover]" totalsRowLabel="3" totalsRowDxfId="24"/>
    <tableColumn id="12" xr3:uid="{00000000-0010-0000-0000-00000C000000}" name="Rate these car companies based on safety. (5 is the best and 1 is the worst) [Mahindra]" totalsRowLabel="2" totalsRowDxfId="23"/>
    <tableColumn id="13" xr3:uid="{00000000-0010-0000-0000-00000D000000}" name="Rate these car companies based on safety. (5 is the best and 1 is the worst) [Mercedes Benz]" totalsRowLabel="3" totalsRowDxfId="22"/>
    <tableColumn id="14" xr3:uid="{00000000-0010-0000-0000-00000E000000}" name="Rate these car companies based on safety. (5 is the best and 1 is the worst) [Mini Cooper]" totalsRowLabel="3" totalsRowDxfId="21"/>
    <tableColumn id="15" xr3:uid="{00000000-0010-0000-0000-00000F000000}" name="Rate these car companies based on safety. (5 is the best and 1 is the worst) [Morris Garages (MG)]" totalsRowLabel="3" totalsRowDxfId="20"/>
    <tableColumn id="16" xr3:uid="{00000000-0010-0000-0000-000010000000}" name="Rate these car companies based on safety. (5 is the best and 1 is the worst) [Skoda]" totalsRowLabel="4" totalsRowDxfId="19"/>
    <tableColumn id="17" xr3:uid="{00000000-0010-0000-0000-000011000000}" name="Rate these car companies based on safety. (5 is the best and 1 is the worst) [Suzuki]" totalsRowLabel="2" totalsRowDxfId="18"/>
    <tableColumn id="18" xr3:uid="{00000000-0010-0000-0000-000012000000}" name="Rate these car companies based on safety. (5 is the best and 1 is the worst) [Tata]" totalsRowLabel="3" totalsRowDxfId="17"/>
    <tableColumn id="19" xr3:uid="{00000000-0010-0000-0000-000013000000}" name="Rate these car companies based on safety. (5 is the best and 1 is the worst) [Toyota]" totalsRowLabel="3" totalsRowDxfId="16"/>
    <tableColumn id="20" xr3:uid="{00000000-0010-0000-0000-000014000000}" name="Rate these car companies based on safety. (5 is the best and 1 is the worst) [Volvo]" totalsRowLabel="5" totalsRowDxfId="15"/>
    <tableColumn id="21" xr3:uid="{00000000-0010-0000-0000-000015000000}" name="Rate these car companies based on safety. (5 is the best and 1 is the worst) [Volkswagen]" totalsRowLabel="4" totalsRowDxfId="14"/>
    <tableColumn id="22" xr3:uid="{00000000-0010-0000-0000-000016000000}" name="What car (company) on the market amongst these do you think is the safest?" totalsRowLabel="Volvo" totalsRowDxfId="13"/>
    <tableColumn id="23" xr3:uid="{00000000-0010-0000-0000-000017000000}" name="How familiar are you with this car brand?" totalsRowLabel="4" totalsRowDxfId="12"/>
    <tableColumn id="24" xr3:uid="{00000000-0010-0000-0000-000018000000}" name="How much do you trust this brand overall?" totalsRowLabel="4" totalsRowDxfId="11"/>
    <tableColumn id="25" xr3:uid="{00000000-0010-0000-0000-000019000000}" name="How suitable do you think this model is for regular highway use?" totalsRowLabel="5" totalsRowDxfId="10"/>
    <tableColumn id="26" xr3:uid="{00000000-0010-0000-0000-00001A000000}" name="Which features (of the list below) do you value the most when purchasing a car?" totalsRowLabel="Long-distance performance, Technological sophistication, Total ownership cost" totalsRowDxfId="9"/>
    <tableColumn id="27" xr3:uid="{00000000-0010-0000-0000-00001B000000}" name="What price range would you consider fair for this car?" totalsRowLabel="6000000" totalsRowDxfId="8"/>
    <tableColumn id="28" xr3:uid="{00000000-0010-0000-0000-00001C000000}" name="How confident would you feel driving this model on the highway / inter-city?" totalsRowLabel="5" dataDxfId="7" totalsRowDxfId="6"/>
    <tableColumn id="29" xr3:uid="{00000000-0010-0000-0000-00001D000000}" name="How likely are you to consider this model for your next purchase?" totalsRowLabel="3" dataDxfId="5" totalsRowDxfId="4"/>
    <tableColumn id="30" xr3:uid="{00000000-0010-0000-0000-00001E000000}" name="Who do you think would prefer this car the most?" totalsRowLabel="Luxury-focused drivers" dataDxfId="3" totalsRowDxfId="2"/>
    <tableColumn id="31" xr3:uid="{00000000-0010-0000-0000-00001F000000}" name="What do you think are the disadvantages of this model?" totalsRowLabel="Resale value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2"/>
  <sheetViews>
    <sheetView tabSelected="1" topLeftCell="AC1" workbookViewId="0">
      <pane ySplit="1" topLeftCell="A2" activePane="bottomLeft" state="frozen"/>
      <selection pane="bottomLeft" activeCell="AF16" sqref="AF16"/>
    </sheetView>
  </sheetViews>
  <sheetFormatPr baseColWidth="10" defaultColWidth="12.6640625" defaultRowHeight="15.75" customHeight="1" x14ac:dyDescent="0.15"/>
  <cols>
    <col min="1" max="1" width="18.83203125" customWidth="1"/>
    <col min="2" max="2" width="20" customWidth="1"/>
    <col min="3" max="3" width="37.6640625" customWidth="1"/>
    <col min="4" max="4" width="31.83203125" customWidth="1"/>
    <col min="5" max="5" width="27" customWidth="1"/>
    <col min="6" max="22" width="37.6640625" customWidth="1"/>
    <col min="23" max="23" width="34.6640625" customWidth="1"/>
    <col min="24" max="24" width="35.6640625" customWidth="1"/>
    <col min="25" max="31" width="37.6640625" customWidth="1"/>
    <col min="32" max="37" width="18.83203125" customWidth="1"/>
  </cols>
  <sheetData>
    <row r="1" spans="1:37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4"/>
      <c r="AH1" s="4"/>
      <c r="AI1" s="5"/>
      <c r="AJ1" s="5" t="s">
        <v>67</v>
      </c>
      <c r="AK1" s="5" t="s">
        <v>68</v>
      </c>
    </row>
    <row r="2" spans="1:37" ht="22.5" customHeight="1" x14ac:dyDescent="0.15">
      <c r="A2" s="2">
        <v>45989.540484687503</v>
      </c>
      <c r="B2" s="3" t="s">
        <v>31</v>
      </c>
      <c r="C2" s="3" t="s">
        <v>32</v>
      </c>
      <c r="D2" s="3">
        <v>2025</v>
      </c>
      <c r="E2" s="3">
        <v>1100000</v>
      </c>
      <c r="F2" s="3" t="s">
        <v>33</v>
      </c>
      <c r="G2" s="3">
        <v>2</v>
      </c>
      <c r="H2" s="3">
        <v>3</v>
      </c>
      <c r="I2" s="3">
        <v>1</v>
      </c>
      <c r="J2" s="3">
        <v>2</v>
      </c>
      <c r="K2" s="3">
        <v>1</v>
      </c>
      <c r="L2" s="3">
        <v>1</v>
      </c>
      <c r="M2" s="3">
        <v>3</v>
      </c>
      <c r="N2" s="3">
        <v>3</v>
      </c>
      <c r="O2" s="3">
        <v>1</v>
      </c>
      <c r="P2" s="3">
        <v>1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 t="s">
        <v>34</v>
      </c>
      <c r="W2" s="3">
        <v>5</v>
      </c>
      <c r="X2" s="3">
        <v>5</v>
      </c>
      <c r="Y2" s="3">
        <v>5</v>
      </c>
      <c r="Z2" s="3" t="s">
        <v>35</v>
      </c>
      <c r="AA2" s="3">
        <v>2000000</v>
      </c>
      <c r="AB2" s="3">
        <v>5</v>
      </c>
      <c r="AC2" s="3">
        <v>4</v>
      </c>
      <c r="AD2" s="3" t="s">
        <v>36</v>
      </c>
      <c r="AE2" s="3" t="s">
        <v>37</v>
      </c>
      <c r="AI2" s="5"/>
      <c r="AJ2" s="4" t="s">
        <v>69</v>
      </c>
      <c r="AK2" s="4">
        <v>1190000</v>
      </c>
    </row>
    <row r="3" spans="1:37" ht="22.5" customHeight="1" x14ac:dyDescent="0.15">
      <c r="A3" s="2">
        <v>45989.548083402777</v>
      </c>
      <c r="B3" s="3" t="s">
        <v>38</v>
      </c>
      <c r="C3" s="3" t="s">
        <v>39</v>
      </c>
      <c r="D3" s="3">
        <v>2024</v>
      </c>
      <c r="E3" s="3">
        <v>1700000</v>
      </c>
      <c r="F3" s="3" t="s">
        <v>40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4</v>
      </c>
      <c r="M3" s="3">
        <v>5</v>
      </c>
      <c r="N3" s="3">
        <v>5</v>
      </c>
      <c r="O3" s="3">
        <v>4</v>
      </c>
      <c r="P3" s="3">
        <v>5</v>
      </c>
      <c r="Q3" s="3">
        <v>3</v>
      </c>
      <c r="R3" s="3">
        <v>5</v>
      </c>
      <c r="S3" s="3">
        <v>5</v>
      </c>
      <c r="T3" s="3">
        <v>4</v>
      </c>
      <c r="U3" s="3">
        <v>5</v>
      </c>
      <c r="V3" s="3" t="s">
        <v>41</v>
      </c>
      <c r="W3" s="3">
        <v>3</v>
      </c>
      <c r="X3" s="3">
        <v>4</v>
      </c>
      <c r="Y3" s="3">
        <v>5</v>
      </c>
      <c r="Z3" s="3" t="s">
        <v>35</v>
      </c>
      <c r="AA3" s="3">
        <v>2500000</v>
      </c>
      <c r="AB3" s="3">
        <v>5</v>
      </c>
      <c r="AC3" s="3">
        <v>3</v>
      </c>
      <c r="AD3" s="3" t="s">
        <v>42</v>
      </c>
      <c r="AE3" s="3" t="s">
        <v>43</v>
      </c>
      <c r="AI3" s="5"/>
      <c r="AJ3" s="4" t="s">
        <v>70</v>
      </c>
      <c r="AK3" s="4">
        <v>3499000</v>
      </c>
    </row>
    <row r="4" spans="1:37" ht="22.5" customHeight="1" x14ac:dyDescent="0.15">
      <c r="A4" s="2">
        <v>45989.56292438657</v>
      </c>
      <c r="B4" s="3" t="s">
        <v>31</v>
      </c>
      <c r="C4" s="3" t="s">
        <v>44</v>
      </c>
      <c r="D4" s="3">
        <v>2018</v>
      </c>
      <c r="E4" s="3">
        <v>1000000</v>
      </c>
      <c r="F4" s="3" t="s">
        <v>33</v>
      </c>
      <c r="G4" s="3">
        <v>4</v>
      </c>
      <c r="H4" s="3">
        <v>4</v>
      </c>
      <c r="I4" s="3">
        <v>3</v>
      </c>
      <c r="J4" s="3">
        <v>4</v>
      </c>
      <c r="K4" s="3">
        <v>5</v>
      </c>
      <c r="L4" s="3">
        <v>4</v>
      </c>
      <c r="M4" s="3">
        <v>3</v>
      </c>
      <c r="N4" s="3">
        <v>4</v>
      </c>
      <c r="O4" s="3">
        <v>4</v>
      </c>
      <c r="P4" s="3">
        <v>4</v>
      </c>
      <c r="Q4" s="3">
        <v>3</v>
      </c>
      <c r="R4" s="3">
        <v>5</v>
      </c>
      <c r="S4" s="3">
        <v>5</v>
      </c>
      <c r="T4" s="3">
        <v>4</v>
      </c>
      <c r="U4" s="3">
        <v>3</v>
      </c>
      <c r="V4" s="3" t="s">
        <v>45</v>
      </c>
      <c r="W4" s="3">
        <v>5</v>
      </c>
      <c r="X4" s="3">
        <v>5</v>
      </c>
      <c r="Y4" s="3">
        <v>5</v>
      </c>
      <c r="Z4" s="3" t="s">
        <v>46</v>
      </c>
      <c r="AA4" s="3">
        <v>1000000</v>
      </c>
      <c r="AB4" s="3">
        <v>5</v>
      </c>
      <c r="AC4" s="3">
        <v>5</v>
      </c>
      <c r="AD4" s="3" t="s">
        <v>47</v>
      </c>
      <c r="AE4" s="3" t="s">
        <v>43</v>
      </c>
      <c r="AI4" s="5"/>
      <c r="AJ4" s="4" t="s">
        <v>71</v>
      </c>
      <c r="AK4" s="4">
        <v>1649000</v>
      </c>
    </row>
    <row r="5" spans="1:37" ht="22.5" customHeight="1" x14ac:dyDescent="0.15">
      <c r="A5" s="2">
        <v>45989.616836435191</v>
      </c>
      <c r="B5" s="3" t="s">
        <v>31</v>
      </c>
      <c r="C5" s="3" t="s">
        <v>48</v>
      </c>
      <c r="D5" s="3">
        <v>2019</v>
      </c>
      <c r="E5" s="3">
        <v>1100000</v>
      </c>
      <c r="F5" s="3" t="s">
        <v>49</v>
      </c>
      <c r="G5" s="3">
        <v>2</v>
      </c>
      <c r="H5" s="3">
        <v>4</v>
      </c>
      <c r="I5" s="3">
        <v>2</v>
      </c>
      <c r="J5" s="3">
        <v>1</v>
      </c>
      <c r="K5" s="3">
        <v>3</v>
      </c>
      <c r="L5" s="3">
        <v>2</v>
      </c>
      <c r="M5" s="3">
        <v>4</v>
      </c>
      <c r="N5" s="3">
        <v>3</v>
      </c>
      <c r="O5" s="3">
        <v>2</v>
      </c>
      <c r="P5" s="3">
        <v>3</v>
      </c>
      <c r="Q5" s="3">
        <v>1</v>
      </c>
      <c r="R5" s="3">
        <v>2</v>
      </c>
      <c r="S5" s="3">
        <v>2</v>
      </c>
      <c r="T5" s="3">
        <v>3</v>
      </c>
      <c r="U5" s="3">
        <v>3</v>
      </c>
      <c r="V5" s="3" t="s">
        <v>50</v>
      </c>
      <c r="W5" s="3">
        <v>5</v>
      </c>
      <c r="X5" s="3">
        <v>5</v>
      </c>
      <c r="Y5" s="3">
        <v>5</v>
      </c>
      <c r="Z5" s="3" t="s">
        <v>51</v>
      </c>
      <c r="AA5" s="3">
        <v>6000000</v>
      </c>
      <c r="AB5" s="3">
        <v>5</v>
      </c>
      <c r="AC5" s="3">
        <v>5</v>
      </c>
      <c r="AD5" s="3" t="s">
        <v>42</v>
      </c>
      <c r="AE5" s="3" t="s">
        <v>52</v>
      </c>
      <c r="AI5" s="5"/>
      <c r="AJ5" s="4" t="s">
        <v>72</v>
      </c>
      <c r="AK5" s="4">
        <v>4915000</v>
      </c>
    </row>
    <row r="6" spans="1:37" ht="22.5" customHeight="1" x14ac:dyDescent="0.15">
      <c r="A6" s="2">
        <v>45989.620200358797</v>
      </c>
      <c r="B6" s="3" t="s">
        <v>38</v>
      </c>
      <c r="C6" s="3" t="s">
        <v>53</v>
      </c>
      <c r="D6" s="3">
        <v>2017</v>
      </c>
      <c r="E6" s="3">
        <v>1200000</v>
      </c>
      <c r="F6" s="3" t="s">
        <v>54</v>
      </c>
      <c r="G6" s="3">
        <v>5</v>
      </c>
      <c r="H6" s="3">
        <v>5</v>
      </c>
      <c r="I6" s="3">
        <v>4</v>
      </c>
      <c r="J6" s="3">
        <v>3</v>
      </c>
      <c r="K6" s="3">
        <v>5</v>
      </c>
      <c r="L6" s="3">
        <v>5</v>
      </c>
      <c r="M6" s="3">
        <v>5</v>
      </c>
      <c r="N6" s="3">
        <v>4</v>
      </c>
      <c r="O6" s="3">
        <v>3</v>
      </c>
      <c r="P6" s="3">
        <v>5</v>
      </c>
      <c r="Q6" s="3">
        <v>3</v>
      </c>
      <c r="R6" s="3">
        <v>4</v>
      </c>
      <c r="S6" s="3">
        <v>4</v>
      </c>
      <c r="T6" s="3">
        <v>4</v>
      </c>
      <c r="U6" s="3">
        <v>4</v>
      </c>
      <c r="V6" s="3" t="s">
        <v>55</v>
      </c>
      <c r="W6" s="3">
        <v>4</v>
      </c>
      <c r="X6" s="3">
        <v>4</v>
      </c>
      <c r="Y6" s="3">
        <v>5</v>
      </c>
      <c r="Z6" s="3" t="s">
        <v>35</v>
      </c>
      <c r="AA6" s="3">
        <v>8000000</v>
      </c>
      <c r="AB6" s="3">
        <v>4</v>
      </c>
      <c r="AC6" s="3">
        <v>4</v>
      </c>
      <c r="AD6" s="3" t="s">
        <v>56</v>
      </c>
      <c r="AE6" s="3" t="s">
        <v>52</v>
      </c>
      <c r="AI6" s="5"/>
      <c r="AJ6" s="4" t="s">
        <v>73</v>
      </c>
      <c r="AK6" s="4">
        <v>7380000</v>
      </c>
    </row>
    <row r="7" spans="1:37" ht="22.5" customHeight="1" x14ac:dyDescent="0.15">
      <c r="A7" s="2">
        <v>45989.641034050925</v>
      </c>
      <c r="B7" s="3" t="s">
        <v>38</v>
      </c>
      <c r="C7" s="3" t="s">
        <v>57</v>
      </c>
      <c r="D7" s="3">
        <v>2019</v>
      </c>
      <c r="E7" s="3">
        <v>1150000</v>
      </c>
      <c r="F7" s="3" t="s">
        <v>40</v>
      </c>
      <c r="G7" s="3">
        <v>4</v>
      </c>
      <c r="H7" s="3">
        <v>4</v>
      </c>
      <c r="I7" s="3">
        <v>3</v>
      </c>
      <c r="J7" s="3">
        <v>2</v>
      </c>
      <c r="K7" s="3">
        <v>4</v>
      </c>
      <c r="L7" s="3">
        <v>3</v>
      </c>
      <c r="M7" s="3">
        <v>4</v>
      </c>
      <c r="N7" s="3">
        <v>3</v>
      </c>
      <c r="O7" s="3">
        <v>4</v>
      </c>
      <c r="P7" s="3">
        <v>4</v>
      </c>
      <c r="Q7" s="3">
        <v>3</v>
      </c>
      <c r="R7" s="3">
        <v>3</v>
      </c>
      <c r="S7" s="3">
        <v>4</v>
      </c>
      <c r="T7" s="3">
        <v>5</v>
      </c>
      <c r="U7" s="3">
        <v>5</v>
      </c>
      <c r="V7" s="3" t="s">
        <v>58</v>
      </c>
      <c r="W7" s="3">
        <v>5</v>
      </c>
      <c r="X7" s="3">
        <v>5</v>
      </c>
      <c r="Y7" s="3">
        <v>4</v>
      </c>
      <c r="Z7" s="3" t="s">
        <v>59</v>
      </c>
      <c r="AA7" s="3">
        <v>3500000</v>
      </c>
      <c r="AB7" s="3">
        <v>4</v>
      </c>
      <c r="AC7" s="3">
        <v>1</v>
      </c>
      <c r="AD7" s="3" t="s">
        <v>56</v>
      </c>
      <c r="AE7" s="3" t="s">
        <v>43</v>
      </c>
      <c r="AI7" s="5"/>
      <c r="AJ7" s="4" t="s">
        <v>74</v>
      </c>
      <c r="AK7" s="4">
        <v>6790000</v>
      </c>
    </row>
    <row r="8" spans="1:37" ht="22.5" customHeight="1" x14ac:dyDescent="0.15">
      <c r="A8" s="2">
        <v>45989.644318796301</v>
      </c>
      <c r="B8" s="3" t="s">
        <v>31</v>
      </c>
      <c r="C8" s="3" t="s">
        <v>60</v>
      </c>
      <c r="D8" s="3">
        <v>2022</v>
      </c>
      <c r="E8" s="3">
        <v>1600000</v>
      </c>
      <c r="F8" s="3" t="s">
        <v>54</v>
      </c>
      <c r="G8" s="3">
        <v>4</v>
      </c>
      <c r="H8" s="3">
        <v>4</v>
      </c>
      <c r="I8" s="3">
        <v>3</v>
      </c>
      <c r="J8" s="3">
        <v>3</v>
      </c>
      <c r="K8" s="3">
        <v>4</v>
      </c>
      <c r="L8" s="3">
        <v>4</v>
      </c>
      <c r="M8" s="3">
        <v>4</v>
      </c>
      <c r="N8" s="3">
        <v>2</v>
      </c>
      <c r="O8" s="3">
        <v>3</v>
      </c>
      <c r="P8" s="3">
        <v>4</v>
      </c>
      <c r="Q8" s="3">
        <v>3</v>
      </c>
      <c r="R8" s="3">
        <v>4</v>
      </c>
      <c r="S8" s="3">
        <v>4</v>
      </c>
      <c r="T8" s="3">
        <v>4</v>
      </c>
      <c r="U8" s="3">
        <v>4</v>
      </c>
      <c r="V8" s="3" t="s">
        <v>61</v>
      </c>
      <c r="W8" s="3">
        <v>3</v>
      </c>
      <c r="X8" s="3">
        <v>3</v>
      </c>
      <c r="Y8" s="3">
        <v>3</v>
      </c>
      <c r="Z8" s="3" t="s">
        <v>35</v>
      </c>
      <c r="AA8" s="3">
        <v>2500000</v>
      </c>
      <c r="AB8" s="3">
        <v>4</v>
      </c>
      <c r="AC8" s="3">
        <v>4</v>
      </c>
      <c r="AD8" s="3" t="s">
        <v>47</v>
      </c>
      <c r="AE8" s="3" t="s">
        <v>52</v>
      </c>
      <c r="AI8" s="5"/>
      <c r="AJ8" s="4" t="s">
        <v>75</v>
      </c>
      <c r="AK8" s="4">
        <v>3365000</v>
      </c>
    </row>
    <row r="9" spans="1:37" ht="22.5" customHeight="1" x14ac:dyDescent="0.15">
      <c r="A9" s="2">
        <v>45989.806835555559</v>
      </c>
      <c r="B9" s="3" t="s">
        <v>38</v>
      </c>
      <c r="C9" s="3" t="s">
        <v>62</v>
      </c>
      <c r="D9" s="3">
        <v>2019</v>
      </c>
      <c r="E9" s="3">
        <v>2100000</v>
      </c>
      <c r="F9" s="3" t="s">
        <v>33</v>
      </c>
      <c r="G9" s="3">
        <v>3</v>
      </c>
      <c r="H9" s="3">
        <v>3</v>
      </c>
      <c r="I9" s="3">
        <v>3</v>
      </c>
      <c r="J9" s="3">
        <v>2</v>
      </c>
      <c r="K9" s="3">
        <v>3</v>
      </c>
      <c r="L9" s="3">
        <v>1</v>
      </c>
      <c r="M9" s="3">
        <v>3</v>
      </c>
      <c r="N9" s="3">
        <v>3</v>
      </c>
      <c r="O9" s="3">
        <v>2</v>
      </c>
      <c r="P9" s="3">
        <v>3</v>
      </c>
      <c r="Q9" s="3">
        <v>2</v>
      </c>
      <c r="R9" s="3">
        <v>2</v>
      </c>
      <c r="S9" s="3">
        <v>3</v>
      </c>
      <c r="T9" s="3">
        <v>3</v>
      </c>
      <c r="U9" s="3">
        <v>2</v>
      </c>
      <c r="V9" s="3" t="s">
        <v>50</v>
      </c>
      <c r="W9" s="3">
        <v>1</v>
      </c>
      <c r="X9" s="3">
        <v>3</v>
      </c>
      <c r="Y9" s="3">
        <v>3</v>
      </c>
      <c r="Z9" s="3" t="s">
        <v>63</v>
      </c>
      <c r="AA9" s="3">
        <v>3000000</v>
      </c>
      <c r="AB9" s="3">
        <v>4</v>
      </c>
      <c r="AC9" s="3">
        <v>1</v>
      </c>
      <c r="AD9" s="3" t="s">
        <v>47</v>
      </c>
      <c r="AE9" s="3" t="s">
        <v>52</v>
      </c>
      <c r="AI9" s="5"/>
      <c r="AJ9" s="4" t="s">
        <v>76</v>
      </c>
      <c r="AK9" s="4">
        <v>6020000</v>
      </c>
    </row>
    <row r="10" spans="1:37" ht="22.5" customHeight="1" x14ac:dyDescent="0.15">
      <c r="A10" s="2">
        <v>45989.828828229161</v>
      </c>
      <c r="B10" s="3" t="s">
        <v>31</v>
      </c>
      <c r="C10" s="3" t="s">
        <v>64</v>
      </c>
      <c r="D10" s="3">
        <v>2014</v>
      </c>
      <c r="E10" s="3">
        <v>600000</v>
      </c>
      <c r="F10" s="3" t="s">
        <v>40</v>
      </c>
      <c r="G10" s="3">
        <v>4</v>
      </c>
      <c r="H10" s="3">
        <v>5</v>
      </c>
      <c r="I10" s="3">
        <v>4</v>
      </c>
      <c r="J10" s="3">
        <v>4</v>
      </c>
      <c r="K10" s="3">
        <v>5</v>
      </c>
      <c r="L10" s="3">
        <v>4</v>
      </c>
      <c r="M10" s="3">
        <v>5</v>
      </c>
      <c r="N10" s="3">
        <v>4</v>
      </c>
      <c r="O10" s="3">
        <v>4</v>
      </c>
      <c r="P10" s="3">
        <v>3</v>
      </c>
      <c r="Q10" s="3">
        <v>1</v>
      </c>
      <c r="R10" s="3">
        <v>5</v>
      </c>
      <c r="S10" s="3">
        <v>4</v>
      </c>
      <c r="T10" s="3">
        <v>4</v>
      </c>
      <c r="U10" s="3">
        <v>2</v>
      </c>
      <c r="V10" s="3" t="s">
        <v>45</v>
      </c>
      <c r="W10" s="3">
        <v>4</v>
      </c>
      <c r="X10" s="3">
        <v>3</v>
      </c>
      <c r="Y10" s="3">
        <v>4</v>
      </c>
      <c r="Z10" s="3" t="s">
        <v>65</v>
      </c>
      <c r="AA10" s="3">
        <v>2000000</v>
      </c>
      <c r="AB10" s="3">
        <v>3</v>
      </c>
      <c r="AC10" s="3">
        <v>3</v>
      </c>
      <c r="AD10" s="3" t="s">
        <v>47</v>
      </c>
      <c r="AE10" s="3" t="s">
        <v>66</v>
      </c>
      <c r="AI10" s="5"/>
      <c r="AJ10" s="4" t="s">
        <v>77</v>
      </c>
      <c r="AK10" s="4">
        <v>1590000</v>
      </c>
    </row>
    <row r="11" spans="1:37" ht="15.75" customHeight="1" x14ac:dyDescent="0.15">
      <c r="A11" s="2" t="s">
        <v>78</v>
      </c>
      <c r="B11" s="4" t="s">
        <v>38</v>
      </c>
      <c r="C11" s="4" t="s">
        <v>80</v>
      </c>
      <c r="D11" s="7" t="s">
        <v>81</v>
      </c>
      <c r="E11" s="8" t="s">
        <v>82</v>
      </c>
      <c r="F11" s="1" t="s">
        <v>79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85</v>
      </c>
      <c r="L11" s="8" t="s">
        <v>86</v>
      </c>
      <c r="M11" s="8" t="s">
        <v>85</v>
      </c>
      <c r="N11" s="8" t="s">
        <v>85</v>
      </c>
      <c r="O11" s="8" t="s">
        <v>85</v>
      </c>
      <c r="P11" s="8" t="s">
        <v>83</v>
      </c>
      <c r="Q11" s="8" t="s">
        <v>86</v>
      </c>
      <c r="R11" s="8" t="s">
        <v>85</v>
      </c>
      <c r="S11" s="8" t="s">
        <v>85</v>
      </c>
      <c r="T11" s="8" t="s">
        <v>84</v>
      </c>
      <c r="U11" s="8" t="s">
        <v>83</v>
      </c>
      <c r="V11" s="9" t="s">
        <v>58</v>
      </c>
      <c r="W11" s="8" t="s">
        <v>83</v>
      </c>
      <c r="X11" s="8" t="s">
        <v>83</v>
      </c>
      <c r="Y11" s="8" t="s">
        <v>84</v>
      </c>
      <c r="Z11" s="10" t="s">
        <v>87</v>
      </c>
      <c r="AA11" s="8" t="s">
        <v>89</v>
      </c>
      <c r="AB11" s="8" t="s">
        <v>84</v>
      </c>
      <c r="AC11" s="8" t="s">
        <v>85</v>
      </c>
      <c r="AD11" s="7" t="s">
        <v>56</v>
      </c>
      <c r="AE11" s="7" t="s">
        <v>37</v>
      </c>
      <c r="AJ11" s="4" t="s">
        <v>88</v>
      </c>
      <c r="AK11" s="4">
        <v>4950000</v>
      </c>
    </row>
    <row r="12" spans="1:37" ht="15.75" customHeight="1" x14ac:dyDescent="0.15">
      <c r="D12" s="6"/>
      <c r="G12" s="5">
        <f>AVERAGE(Form_Responses[[#Data],[#Totals],[Rate these car companies based on safety. (5 is the best and 1 is the worst) '[Audi']]])</f>
        <v>3.6666666666666665</v>
      </c>
      <c r="H12" s="5">
        <f>AVERAGE(Form_Responses[[#Data],[#Totals],[Rate these car companies based on safety. (5 is the best and 1 is the worst) '[BMW']]])</f>
        <v>4.1111111111111107</v>
      </c>
      <c r="I12" s="5">
        <f>AVERAGE(Form_Responses[[#Data],[#Totals],[Rate these car companies based on safety. (5 is the best and 1 is the worst) '[Honda']]])</f>
        <v>3.1111111111111112</v>
      </c>
      <c r="J12" s="5">
        <f>AVERAGE(Form_Responses[[#Data],[#Totals],[Rate these car companies based on safety. (5 is the best and 1 is the worst) '[Hyundai']]])</f>
        <v>2.8888888888888888</v>
      </c>
      <c r="K12" s="5">
        <f>AVERAGE(Form_Responses[[#Data],[#Totals],[Rate these car companies based on safety. (5 is the best and 1 is the worst) '[Jaguar Land Rover']]])</f>
        <v>3.8888888888888888</v>
      </c>
      <c r="L12" s="5">
        <f>AVERAGE(Form_Responses[[#Data],[#Totals],[Rate these car companies based on safety. (5 is the best and 1 is the worst) '[Mahindra']]])</f>
        <v>3.1111111111111112</v>
      </c>
      <c r="M12" s="5">
        <f>AVERAGE(Form_Responses[[#Data],[#Totals],[Rate these car companies based on safety. (5 is the best and 1 is the worst) '[Mercedes Benz']]])</f>
        <v>4</v>
      </c>
      <c r="N12" s="5">
        <f>AVERAGE(Form_Responses[[#Data],[#Totals],[Rate these car companies based on safety. (5 is the best and 1 is the worst) '[Mini Cooper']]])</f>
        <v>3.4444444444444446</v>
      </c>
      <c r="O12" s="5">
        <f>AVERAGE(Form_Responses[[#Data],[#Totals],[Rate these car companies based on safety. (5 is the best and 1 is the worst) '[Morris Garages (MG)']]])</f>
        <v>3</v>
      </c>
      <c r="P12" s="5">
        <f>AVERAGE(Form_Responses[[#Data],[#Totals],[Rate these car companies based on safety. (5 is the best and 1 is the worst) '[Skoda']]])</f>
        <v>3.5555555555555554</v>
      </c>
      <c r="Q12" s="5">
        <f>AVERAGE(Form_Responses[[#Data],[#Totals],[Rate these car companies based on safety. (5 is the best and 1 is the worst) '[Suzuki']]])</f>
        <v>2.3333333333333335</v>
      </c>
      <c r="R12" s="5">
        <f>AVERAGE(Form_Responses[[#Data],[#Totals],[Rate these car companies based on safety. (5 is the best and 1 is the worst) '[Tata']]])</f>
        <v>3.5555555555555554</v>
      </c>
      <c r="S12" s="5">
        <f>AVERAGE(Form_Responses[[#Data],[#Totals],[Rate these car companies based on safety. (5 is the best and 1 is the worst) '[Toyota']]])</f>
        <v>3.6666666666666665</v>
      </c>
      <c r="T12" s="5">
        <f>AVERAGE(Form_Responses[[#Data],[#Totals],[Rate these car companies based on safety. (5 is the best and 1 is the worst) '[Volvo']]])</f>
        <v>3.6666666666666665</v>
      </c>
      <c r="U12" s="5">
        <f>AVERAGE(Form_Responses[[#Data],[#Totals],[Rate these car companies based on safety. (5 is the best and 1 is the worst) '[Volkswagen']]])</f>
        <v>3.3333333333333335</v>
      </c>
      <c r="V12" s="5"/>
      <c r="W12" s="5">
        <f>AVERAGE(Form_Responses[[#Data],[#Totals],[How familiar are you with this car brand?]])</f>
        <v>3.8888888888888888</v>
      </c>
      <c r="X12" s="5">
        <f>AVERAGE(Form_Responses[[#Data],[#Totals],[How much do you trust this brand overall?]])</f>
        <v>4.1111111111111107</v>
      </c>
      <c r="Y12" s="5">
        <f>AVERAGE(Form_Responses[[#Data],[#Totals],[How suitable do you think this model is for regular highway use?]])</f>
        <v>4.333333333333333</v>
      </c>
      <c r="Z12" s="5" t="e">
        <f>AVERAGE(Form_Responses[[#Data],[#Totals],[Which features (of the list below) do you value the most when purchasing a car?]])</f>
        <v>#DIV/0!</v>
      </c>
      <c r="AA12" s="5">
        <f>AVERAGE(Form_Responses[[#Data],[#Totals],[What price range would you consider fair for this car?]])</f>
        <v>3388888.888888889</v>
      </c>
      <c r="AB12" s="5">
        <f>AVERAGE(Form_Responses[[#Data],[#Totals],[How confident would you feel driving this model on the highway / inter-city?]])</f>
        <v>4.333333333333333</v>
      </c>
      <c r="AC12" s="5">
        <f>AVERAGE(Form_Responses[[#Data],[#Totals],[How likely are you to consider this model for your next purchase?]])</f>
        <v>3.3333333333333335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Sathe</cp:lastModifiedBy>
  <dcterms:modified xsi:type="dcterms:W3CDTF">2026-02-21T14:15:47Z</dcterms:modified>
</cp:coreProperties>
</file>